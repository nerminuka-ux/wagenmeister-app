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7"/>
  <workbookPr updateLinks="never" codeName="DieseArbeitsmappe"/>
  <mc:AlternateContent xmlns:mc="http://schemas.openxmlformats.org/markup-compatibility/2006">
    <mc:Choice Requires="x15">
      <x15ac:absPath xmlns:x15ac="http://schemas.microsoft.com/office/spreadsheetml/2010/11/ac" url="P:\Hafen\Wagenmeister\N.Uka\"/>
    </mc:Choice>
  </mc:AlternateContent>
  <xr:revisionPtr revIDLastSave="0" documentId="8_{E9E0B017-E9ED-F44C-985E-626AC0DAC206}" xr6:coauthVersionLast="47" xr6:coauthVersionMax="47" xr10:uidLastSave="{00000000-0000-0000-0000-000000000000}"/>
  <bookViews>
    <workbookView xWindow="28680" yWindow="-45" windowWidth="29040" windowHeight="15720" activeTab="4" xr2:uid="{00000000-000D-0000-FFFF-FFFF00000000}"/>
  </bookViews>
  <sheets>
    <sheet name="Wagenliste" sheetId="11" r:id="rId1"/>
    <sheet name="Wagenliste2 (autom. gefüllt)" sheetId="14" r:id="rId2"/>
    <sheet name="Bremszettel" sheetId="2" r:id="rId3"/>
    <sheet name="WU Protokoll" sheetId="3" r:id="rId4"/>
    <sheet name="Meldezettel" sheetId="5" r:id="rId5"/>
    <sheet name="Formeln Rdx" sheetId="13" state="hidden" r:id="rId6"/>
  </sheets>
  <externalReferences>
    <externalReference r:id="rId7"/>
  </externalReferences>
  <definedNames>
    <definedName name="Bahnhof" localSheetId="1">'[1]Techn. Übergangsuntersuchung'!#REF!</definedName>
    <definedName name="Bahnhof" localSheetId="3">'WU Protokoll'!$R$7</definedName>
    <definedName name="Bahnhof">'[1]Techn. Übergangsuntersuchung'!#REF!</definedName>
    <definedName name="_xlnm.Print_Area" localSheetId="0">Wagenliste!$A$1:$W$42</definedName>
    <definedName name="Sendungs_Nr." localSheetId="1">#REF!</definedName>
    <definedName name="Sendungs_Nr." localSheetId="3">#REF!</definedName>
    <definedName name="Sendungs_Nr.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2" i="3" l="1"/>
  <c r="P9" i="3"/>
  <c r="C19" i="14"/>
  <c r="M19" i="14"/>
  <c r="L19" i="14"/>
  <c r="C20" i="14"/>
  <c r="M20" i="14"/>
  <c r="L20" i="14"/>
  <c r="C21" i="14"/>
  <c r="M21" i="14"/>
  <c r="L21" i="14"/>
  <c r="C22" i="14"/>
  <c r="M22" i="14"/>
  <c r="L22" i="14"/>
  <c r="C23" i="14"/>
  <c r="M23" i="14"/>
  <c r="L23" i="14"/>
  <c r="C24" i="14"/>
  <c r="M24" i="14"/>
  <c r="L24" i="14"/>
  <c r="C25" i="14"/>
  <c r="M25" i="14"/>
  <c r="L25" i="14"/>
  <c r="C26" i="14"/>
  <c r="M26" i="14"/>
  <c r="L26" i="14"/>
  <c r="C27" i="14"/>
  <c r="M27" i="14"/>
  <c r="L27" i="14"/>
  <c r="C28" i="14"/>
  <c r="M28" i="14"/>
  <c r="L28" i="14"/>
  <c r="C29" i="14"/>
  <c r="M29" i="14"/>
  <c r="L29" i="14"/>
  <c r="C30" i="14"/>
  <c r="M30" i="14"/>
  <c r="L30" i="14"/>
  <c r="C31" i="14"/>
  <c r="M31" i="14"/>
  <c r="L31" i="14"/>
  <c r="C32" i="14"/>
  <c r="M32" i="14"/>
  <c r="L32" i="14"/>
  <c r="C33" i="14"/>
  <c r="M33" i="14"/>
  <c r="L33" i="14"/>
  <c r="C34" i="14"/>
  <c r="M34" i="14"/>
  <c r="L34" i="14"/>
  <c r="C35" i="14"/>
  <c r="M35" i="14"/>
  <c r="L35" i="14"/>
  <c r="C36" i="14"/>
  <c r="M36" i="14"/>
  <c r="L36" i="14"/>
  <c r="C37" i="14"/>
  <c r="M37" i="14"/>
  <c r="L37" i="14"/>
  <c r="L38" i="14"/>
  <c r="L39" i="14"/>
  <c r="L42" i="14"/>
  <c r="L43" i="14"/>
  <c r="L44" i="14"/>
  <c r="L45" i="14"/>
  <c r="L46" i="14"/>
  <c r="L47" i="14"/>
  <c r="N27" i="11"/>
  <c r="N28" i="11"/>
  <c r="N29" i="11"/>
  <c r="N30" i="11"/>
  <c r="N31" i="11"/>
  <c r="N32" i="11"/>
  <c r="N33" i="11"/>
  <c r="N34" i="11"/>
  <c r="N35" i="11"/>
  <c r="N36" i="11"/>
  <c r="AO8" i="13"/>
  <c r="AO9" i="13"/>
  <c r="AO10" i="13"/>
  <c r="AO11" i="13"/>
  <c r="AO12" i="13"/>
  <c r="AO13" i="13"/>
  <c r="AO14" i="13"/>
  <c r="AO15" i="13"/>
  <c r="AO16" i="13"/>
  <c r="AO17" i="13"/>
  <c r="AO18" i="13"/>
  <c r="AO19" i="13"/>
  <c r="AO20" i="13"/>
  <c r="AO21" i="13"/>
  <c r="AO22" i="13"/>
  <c r="AO23" i="13"/>
  <c r="AO24" i="13"/>
  <c r="AO25" i="13"/>
  <c r="AO26" i="13"/>
  <c r="AO27" i="13"/>
  <c r="AO28" i="13"/>
  <c r="AO29" i="13"/>
  <c r="AO30" i="13"/>
  <c r="AO31" i="13"/>
  <c r="AO32" i="13"/>
  <c r="AO33" i="13"/>
  <c r="AO34" i="13"/>
  <c r="AO35" i="13"/>
  <c r="AO36" i="13"/>
  <c r="AO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T2" i="5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R38" i="14"/>
  <c r="R39" i="14"/>
  <c r="R40" i="14"/>
  <c r="R41" i="14"/>
  <c r="R42" i="14"/>
  <c r="R43" i="14"/>
  <c r="R44" i="14"/>
  <c r="R45" i="14"/>
  <c r="R46" i="14"/>
  <c r="R47" i="14"/>
  <c r="AA20" i="3"/>
  <c r="P11" i="3"/>
  <c r="T19" i="11"/>
  <c r="V26" i="14"/>
  <c r="R18" i="14"/>
  <c r="V31" i="14"/>
  <c r="V34" i="14"/>
  <c r="P26" i="14"/>
  <c r="P31" i="14"/>
  <c r="O26" i="14"/>
  <c r="T31" i="11"/>
  <c r="T30" i="11"/>
  <c r="T26" i="14"/>
  <c r="U31" i="14"/>
  <c r="J26" i="14"/>
  <c r="J31" i="14"/>
  <c r="C18" i="14"/>
  <c r="V18" i="14"/>
  <c r="V19" i="14"/>
  <c r="V22" i="14"/>
  <c r="J23" i="14"/>
  <c r="J24" i="14"/>
  <c r="U26" i="14"/>
  <c r="V29" i="14"/>
  <c r="V30" i="14"/>
  <c r="Q31" i="14"/>
  <c r="J32" i="14"/>
  <c r="T35" i="14"/>
  <c r="O36" i="14"/>
  <c r="C38" i="14"/>
  <c r="C39" i="14"/>
  <c r="V39" i="14"/>
  <c r="C40" i="14"/>
  <c r="C41" i="14"/>
  <c r="C42" i="14"/>
  <c r="H26" i="14"/>
  <c r="H31" i="14"/>
  <c r="C44" i="14"/>
  <c r="V44" i="14"/>
  <c r="C45" i="14"/>
  <c r="V45" i="14"/>
  <c r="C46" i="14"/>
  <c r="V46" i="14"/>
  <c r="C47" i="14"/>
  <c r="V47" i="14"/>
  <c r="C43" i="14"/>
  <c r="V43" i="14"/>
  <c r="M40" i="14"/>
  <c r="L40" i="14"/>
  <c r="H36" i="14"/>
  <c r="S40" i="14"/>
  <c r="S46" i="14"/>
  <c r="H43" i="14"/>
  <c r="U45" i="14"/>
  <c r="O45" i="14"/>
  <c r="P45" i="14"/>
  <c r="T45" i="14"/>
  <c r="S45" i="14"/>
  <c r="O43" i="14"/>
  <c r="M46" i="14"/>
  <c r="J46" i="14"/>
  <c r="P43" i="14"/>
  <c r="M47" i="14"/>
  <c r="I47" i="14"/>
  <c r="U43" i="14"/>
  <c r="M45" i="14"/>
  <c r="I45" i="14"/>
  <c r="P40" i="14"/>
  <c r="M43" i="14"/>
  <c r="J43" i="14"/>
  <c r="H40" i="14"/>
  <c r="T43" i="14"/>
  <c r="Q43" i="14"/>
  <c r="T36" i="14"/>
  <c r="H35" i="14"/>
  <c r="P35" i="14"/>
  <c r="O35" i="14"/>
  <c r="J35" i="14"/>
  <c r="H44" i="14"/>
  <c r="Q42" i="14"/>
  <c r="V42" i="14"/>
  <c r="V38" i="14"/>
  <c r="H33" i="14"/>
  <c r="V33" i="14"/>
  <c r="H25" i="14"/>
  <c r="V25" i="14"/>
  <c r="V21" i="14"/>
  <c r="U33" i="14"/>
  <c r="Q44" i="14"/>
  <c r="H47" i="14"/>
  <c r="H41" i="14"/>
  <c r="V41" i="14"/>
  <c r="O37" i="14"/>
  <c r="V37" i="14"/>
  <c r="U32" i="14"/>
  <c r="V32" i="14"/>
  <c r="O28" i="14"/>
  <c r="V28" i="14"/>
  <c r="U24" i="14"/>
  <c r="V24" i="14"/>
  <c r="O20" i="14"/>
  <c r="V20" i="14"/>
  <c r="U44" i="14"/>
  <c r="T25" i="14"/>
  <c r="T44" i="14"/>
  <c r="Q47" i="14"/>
  <c r="O44" i="14"/>
  <c r="O25" i="14"/>
  <c r="P44" i="14"/>
  <c r="P24" i="14"/>
  <c r="H46" i="14"/>
  <c r="H24" i="14"/>
  <c r="Q40" i="14"/>
  <c r="V40" i="14"/>
  <c r="V36" i="14"/>
  <c r="V27" i="14"/>
  <c r="Q23" i="14"/>
  <c r="V23" i="14"/>
  <c r="U47" i="14"/>
  <c r="U25" i="14"/>
  <c r="T33" i="14"/>
  <c r="T47" i="14"/>
  <c r="S44" i="14"/>
  <c r="Q46" i="14"/>
  <c r="O47" i="14"/>
  <c r="O33" i="14"/>
  <c r="P47" i="14"/>
  <c r="P32" i="14"/>
  <c r="P23" i="14"/>
  <c r="H45" i="14"/>
  <c r="H23" i="14"/>
  <c r="U35" i="14"/>
  <c r="V35" i="14"/>
  <c r="M44" i="14"/>
  <c r="J25" i="14"/>
  <c r="U46" i="14"/>
  <c r="U40" i="14"/>
  <c r="U23" i="14"/>
  <c r="T27" i="14"/>
  <c r="T46" i="14"/>
  <c r="S47" i="14"/>
  <c r="S43" i="14"/>
  <c r="Q45" i="14"/>
  <c r="O46" i="14"/>
  <c r="O42" i="14"/>
  <c r="O27" i="14"/>
  <c r="P46" i="14"/>
  <c r="P41" i="14"/>
  <c r="U18" i="14"/>
  <c r="H18" i="14"/>
  <c r="M18" i="14"/>
  <c r="I18" i="14"/>
  <c r="P18" i="14"/>
  <c r="T18" i="14"/>
  <c r="Q18" i="14"/>
  <c r="H21" i="14"/>
  <c r="H20" i="14"/>
  <c r="O19" i="14"/>
  <c r="T19" i="14"/>
  <c r="H19" i="14"/>
  <c r="H39" i="14"/>
  <c r="H22" i="14"/>
  <c r="T39" i="14"/>
  <c r="I26" i="14"/>
  <c r="U22" i="14"/>
  <c r="S38" i="14"/>
  <c r="S21" i="14"/>
  <c r="U39" i="14"/>
  <c r="U21" i="14"/>
  <c r="I24" i="14"/>
  <c r="Q28" i="14"/>
  <c r="P39" i="14"/>
  <c r="P30" i="14"/>
  <c r="H28" i="14"/>
  <c r="U38" i="14"/>
  <c r="U37" i="14"/>
  <c r="U28" i="14"/>
  <c r="U20" i="14"/>
  <c r="T32" i="14"/>
  <c r="T24" i="14"/>
  <c r="S36" i="14"/>
  <c r="S27" i="14"/>
  <c r="S19" i="14"/>
  <c r="S39" i="14"/>
  <c r="I31" i="14"/>
  <c r="I23" i="14"/>
  <c r="Q36" i="14"/>
  <c r="Q27" i="14"/>
  <c r="Q19" i="14"/>
  <c r="O41" i="14"/>
  <c r="O32" i="14"/>
  <c r="O24" i="14"/>
  <c r="P38" i="14"/>
  <c r="P29" i="14"/>
  <c r="P21" i="14"/>
  <c r="S30" i="14"/>
  <c r="Q39" i="14"/>
  <c r="Q22" i="14"/>
  <c r="S29" i="14"/>
  <c r="Q21" i="14"/>
  <c r="I32" i="14"/>
  <c r="Q37" i="14"/>
  <c r="Q20" i="14"/>
  <c r="P22" i="14"/>
  <c r="H38" i="14"/>
  <c r="H37" i="14"/>
  <c r="H27" i="14"/>
  <c r="M39" i="14"/>
  <c r="J39" i="14"/>
  <c r="J30" i="14"/>
  <c r="U36" i="14"/>
  <c r="U27" i="14"/>
  <c r="U19" i="14"/>
  <c r="T31" i="14"/>
  <c r="T23" i="14"/>
  <c r="S35" i="14"/>
  <c r="S26" i="14"/>
  <c r="S18" i="14"/>
  <c r="Q35" i="14"/>
  <c r="Q26" i="14"/>
  <c r="O18" i="14"/>
  <c r="O40" i="14"/>
  <c r="O31" i="14"/>
  <c r="O23" i="14"/>
  <c r="P37" i="14"/>
  <c r="P28" i="14"/>
  <c r="P20" i="14"/>
  <c r="S22" i="14"/>
  <c r="Q30" i="14"/>
  <c r="U30" i="14"/>
  <c r="Q29" i="14"/>
  <c r="U29" i="14"/>
  <c r="S37" i="14"/>
  <c r="S28" i="14"/>
  <c r="S20" i="14"/>
  <c r="M38" i="14"/>
  <c r="J38" i="14"/>
  <c r="J29" i="14"/>
  <c r="T30" i="14"/>
  <c r="T22" i="14"/>
  <c r="S33" i="14"/>
  <c r="S25" i="14"/>
  <c r="Q33" i="14"/>
  <c r="Q25" i="14"/>
  <c r="O39" i="14"/>
  <c r="O30" i="14"/>
  <c r="O22" i="14"/>
  <c r="P36" i="14"/>
  <c r="P27" i="14"/>
  <c r="P19" i="14"/>
  <c r="T38" i="14"/>
  <c r="T21" i="14"/>
  <c r="S24" i="14"/>
  <c r="Q32" i="14"/>
  <c r="O38" i="14"/>
  <c r="O21" i="14"/>
  <c r="H30" i="14"/>
  <c r="Q38" i="14"/>
  <c r="H29" i="14"/>
  <c r="J37" i="14"/>
  <c r="J28" i="14"/>
  <c r="T29" i="14"/>
  <c r="S32" i="14"/>
  <c r="Q24" i="14"/>
  <c r="O29" i="14"/>
  <c r="H32" i="14"/>
  <c r="J36" i="14"/>
  <c r="J27" i="14"/>
  <c r="T37" i="14"/>
  <c r="T28" i="14"/>
  <c r="T20" i="14"/>
  <c r="T40" i="14"/>
  <c r="S31" i="14"/>
  <c r="S23" i="14"/>
  <c r="P42" i="14"/>
  <c r="P33" i="14"/>
  <c r="P25" i="14"/>
  <c r="O34" i="14"/>
  <c r="E49" i="14"/>
  <c r="P34" i="14"/>
  <c r="H34" i="14"/>
  <c r="T34" i="14"/>
  <c r="Q34" i="14"/>
  <c r="U34" i="14"/>
  <c r="J34" i="14"/>
  <c r="S34" i="14"/>
  <c r="T41" i="14"/>
  <c r="Q41" i="14"/>
  <c r="M42" i="14"/>
  <c r="J42" i="14"/>
  <c r="H42" i="14"/>
  <c r="U42" i="14"/>
  <c r="S42" i="14"/>
  <c r="T42" i="14"/>
  <c r="U41" i="14"/>
  <c r="S41" i="14"/>
  <c r="M41" i="14"/>
  <c r="L41" i="14"/>
  <c r="K18" i="14"/>
  <c r="F12" i="14"/>
  <c r="A12" i="14"/>
  <c r="T12" i="14"/>
  <c r="N12" i="14"/>
  <c r="J12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N18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J40" i="14"/>
  <c r="I40" i="14"/>
  <c r="I43" i="14"/>
  <c r="I46" i="14"/>
  <c r="J47" i="14"/>
  <c r="I35" i="14"/>
  <c r="J45" i="14"/>
  <c r="Q48" i="14"/>
  <c r="I25" i="14"/>
  <c r="I33" i="14"/>
  <c r="J33" i="14"/>
  <c r="J41" i="14"/>
  <c r="I44" i="14"/>
  <c r="J44" i="14"/>
  <c r="J18" i="14"/>
  <c r="L18" i="14"/>
  <c r="P48" i="14"/>
  <c r="P50" i="14"/>
  <c r="I39" i="14"/>
  <c r="O48" i="14"/>
  <c r="O50" i="14"/>
  <c r="I19" i="14"/>
  <c r="J19" i="14"/>
  <c r="J21" i="14"/>
  <c r="I21" i="14"/>
  <c r="I27" i="14"/>
  <c r="I20" i="14"/>
  <c r="J20" i="14"/>
  <c r="I29" i="14"/>
  <c r="I36" i="14"/>
  <c r="I28" i="14"/>
  <c r="I38" i="14"/>
  <c r="J22" i="14"/>
  <c r="I22" i="14"/>
  <c r="I37" i="14"/>
  <c r="I30" i="14"/>
  <c r="I34" i="14"/>
  <c r="I41" i="14"/>
  <c r="I42" i="14"/>
  <c r="M48" i="14"/>
  <c r="N48" i="14"/>
  <c r="K48" i="14"/>
  <c r="N7" i="11"/>
  <c r="N8" i="11"/>
  <c r="N9" i="11"/>
  <c r="N10" i="11"/>
  <c r="N11" i="11"/>
  <c r="N12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13" i="11"/>
  <c r="J48" i="14"/>
  <c r="O51" i="14"/>
  <c r="L48" i="14"/>
  <c r="I48" i="14"/>
  <c r="J43" i="2"/>
  <c r="I49" i="14"/>
  <c r="S13" i="5"/>
  <c r="T8" i="11"/>
  <c r="T9" i="11"/>
  <c r="T10" i="11"/>
  <c r="T11" i="11"/>
  <c r="T12" i="11"/>
  <c r="T13" i="11"/>
  <c r="T14" i="11"/>
  <c r="T15" i="11"/>
  <c r="T16" i="11"/>
  <c r="T17" i="11"/>
  <c r="T18" i="11"/>
  <c r="T20" i="11"/>
  <c r="T21" i="11"/>
  <c r="T22" i="11"/>
  <c r="T23" i="11"/>
  <c r="T24" i="11"/>
  <c r="T25" i="11"/>
  <c r="T26" i="11"/>
  <c r="T27" i="11"/>
  <c r="T28" i="11"/>
  <c r="T29" i="11"/>
  <c r="T32" i="11"/>
  <c r="T33" i="11"/>
  <c r="T34" i="11"/>
  <c r="T35" i="11"/>
  <c r="T36" i="11"/>
  <c r="T7" i="11"/>
  <c r="Q2" i="5"/>
  <c r="B42" i="13" a="1"/>
  <c r="B42" i="13"/>
  <c r="C27" i="13"/>
  <c r="C28" i="13"/>
  <c r="C29" i="13"/>
  <c r="C31" i="13"/>
  <c r="C32" i="13"/>
  <c r="C33" i="13"/>
  <c r="C34" i="13"/>
  <c r="C35" i="13"/>
  <c r="C36" i="13"/>
  <c r="I27" i="3"/>
  <c r="B37" i="11"/>
  <c r="G11" i="3"/>
  <c r="G9" i="3"/>
  <c r="G13" i="3"/>
  <c r="U17" i="2"/>
  <c r="C18" i="13"/>
  <c r="C17" i="13"/>
  <c r="C24" i="13"/>
  <c r="C16" i="13"/>
  <c r="C25" i="13"/>
  <c r="C23" i="13"/>
  <c r="C15" i="13"/>
  <c r="C30" i="13"/>
  <c r="C22" i="13"/>
  <c r="C14" i="13"/>
  <c r="C10" i="13"/>
  <c r="C21" i="13"/>
  <c r="C13" i="13"/>
  <c r="C19" i="13"/>
  <c r="C11" i="13"/>
  <c r="C26" i="13"/>
  <c r="C20" i="13"/>
  <c r="C12" i="13"/>
  <c r="I29" i="3"/>
  <c r="T11" i="5"/>
  <c r="B47" i="13"/>
  <c r="Q11" i="5"/>
  <c r="K37" i="11"/>
  <c r="U19" i="2"/>
  <c r="W1" i="2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7" i="11"/>
  <c r="B7" i="13"/>
  <c r="F7" i="13"/>
  <c r="Q7" i="13"/>
  <c r="AB7" i="13"/>
  <c r="C9" i="13"/>
  <c r="F47" i="13"/>
  <c r="E11" i="5"/>
  <c r="H12" i="13"/>
  <c r="S12" i="13"/>
  <c r="AD12" i="13"/>
  <c r="K14" i="13"/>
  <c r="V14" i="13"/>
  <c r="AG14" i="13"/>
  <c r="N16" i="13"/>
  <c r="Y16" i="13"/>
  <c r="AJ16" i="13"/>
  <c r="E17" i="13"/>
  <c r="P17" i="13"/>
  <c r="AA17" i="13"/>
  <c r="N19" i="13"/>
  <c r="Y19" i="13"/>
  <c r="AJ19" i="13"/>
  <c r="L28" i="13"/>
  <c r="W28" i="13"/>
  <c r="AH28" i="13"/>
  <c r="M29" i="13"/>
  <c r="X29" i="13"/>
  <c r="AI29" i="13"/>
  <c r="M31" i="13"/>
  <c r="X31" i="13"/>
  <c r="AI31" i="13"/>
  <c r="L36" i="13"/>
  <c r="W36" i="13"/>
  <c r="AH36" i="13"/>
  <c r="D42" i="13"/>
  <c r="K11" i="5"/>
  <c r="C8" i="13"/>
  <c r="F17" i="13"/>
  <c r="Q17" i="13"/>
  <c r="AB17" i="13"/>
  <c r="G17" i="13"/>
  <c r="R17" i="13"/>
  <c r="AC17" i="13"/>
  <c r="M34" i="13"/>
  <c r="X34" i="13"/>
  <c r="AI34" i="13"/>
  <c r="D27" i="13"/>
  <c r="O27" i="13"/>
  <c r="Z27" i="13"/>
  <c r="K23" i="13"/>
  <c r="V23" i="13"/>
  <c r="AG23" i="13"/>
  <c r="L7" i="13"/>
  <c r="W7" i="13"/>
  <c r="AH7" i="13"/>
  <c r="L12" i="13"/>
  <c r="W12" i="13"/>
  <c r="AH12" i="13"/>
  <c r="H15" i="13"/>
  <c r="S15" i="13"/>
  <c r="AD15" i="13"/>
  <c r="K21" i="13"/>
  <c r="V21" i="13"/>
  <c r="AG21" i="13"/>
  <c r="M21" i="13"/>
  <c r="X21" i="13"/>
  <c r="AI21" i="13"/>
  <c r="D9" i="13"/>
  <c r="O9" i="13"/>
  <c r="Z9" i="13"/>
  <c r="L23" i="13"/>
  <c r="W23" i="13"/>
  <c r="AH23" i="13"/>
  <c r="E9" i="13"/>
  <c r="P9" i="13"/>
  <c r="AA9" i="13"/>
  <c r="F9" i="13"/>
  <c r="Q9" i="13"/>
  <c r="AB9" i="13"/>
  <c r="I9" i="13"/>
  <c r="T9" i="13"/>
  <c r="AE9" i="13"/>
  <c r="F28" i="13"/>
  <c r="Q28" i="13"/>
  <c r="AB28" i="13"/>
  <c r="L21" i="13"/>
  <c r="W21" i="13"/>
  <c r="AH21" i="13"/>
  <c r="N29" i="13"/>
  <c r="Y29" i="13"/>
  <c r="AJ29" i="13"/>
  <c r="J36" i="13"/>
  <c r="U36" i="13"/>
  <c r="AF36" i="13"/>
  <c r="F11" i="13"/>
  <c r="Q11" i="13"/>
  <c r="AB11" i="13"/>
  <c r="G21" i="13"/>
  <c r="R21" i="13"/>
  <c r="AC21" i="13"/>
  <c r="E23" i="13"/>
  <c r="P23" i="13"/>
  <c r="AA23" i="13"/>
  <c r="J24" i="13"/>
  <c r="U24" i="13"/>
  <c r="AF24" i="13"/>
  <c r="I10" i="13"/>
  <c r="T10" i="13"/>
  <c r="AE10" i="13"/>
  <c r="D21" i="13"/>
  <c r="O21" i="13"/>
  <c r="Z21" i="13"/>
  <c r="G24" i="13"/>
  <c r="R24" i="13"/>
  <c r="AC24" i="13"/>
  <c r="I11" i="13"/>
  <c r="T11" i="13"/>
  <c r="AE11" i="13"/>
  <c r="H21" i="13"/>
  <c r="S21" i="13"/>
  <c r="AD21" i="13"/>
  <c r="F23" i="13"/>
  <c r="Q23" i="13"/>
  <c r="AB23" i="13"/>
  <c r="L24" i="13"/>
  <c r="W24" i="13"/>
  <c r="AH24" i="13"/>
  <c r="E33" i="13"/>
  <c r="P33" i="13"/>
  <c r="AA33" i="13"/>
  <c r="D22" i="13"/>
  <c r="O22" i="13"/>
  <c r="Z22" i="13"/>
  <c r="F24" i="13"/>
  <c r="Q24" i="13"/>
  <c r="AB24" i="13"/>
  <c r="E35" i="13"/>
  <c r="P35" i="13"/>
  <c r="AA35" i="13"/>
  <c r="M9" i="13"/>
  <c r="X9" i="13"/>
  <c r="AI9" i="13"/>
  <c r="N21" i="13"/>
  <c r="Y21" i="13"/>
  <c r="AJ21" i="13"/>
  <c r="F22" i="13"/>
  <c r="Q22" i="13"/>
  <c r="AB22" i="13"/>
  <c r="D24" i="13"/>
  <c r="O24" i="13"/>
  <c r="Z24" i="13"/>
  <c r="L35" i="13"/>
  <c r="W35" i="13"/>
  <c r="AH35" i="13"/>
  <c r="G22" i="13"/>
  <c r="R22" i="13"/>
  <c r="AC22" i="13"/>
  <c r="J11" i="13"/>
  <c r="U11" i="13"/>
  <c r="AF11" i="13"/>
  <c r="I21" i="13"/>
  <c r="T21" i="13"/>
  <c r="AE21" i="13"/>
  <c r="G23" i="13"/>
  <c r="R23" i="13"/>
  <c r="AC23" i="13"/>
  <c r="M24" i="13"/>
  <c r="X24" i="13"/>
  <c r="AI24" i="13"/>
  <c r="H33" i="13"/>
  <c r="S33" i="13"/>
  <c r="AD33" i="13"/>
  <c r="M23" i="13"/>
  <c r="X23" i="13"/>
  <c r="AI23" i="13"/>
  <c r="M10" i="13"/>
  <c r="X10" i="13"/>
  <c r="AI10" i="13"/>
  <c r="E21" i="13"/>
  <c r="P21" i="13"/>
  <c r="AA21" i="13"/>
  <c r="I23" i="13"/>
  <c r="T23" i="13"/>
  <c r="AE23" i="13"/>
  <c r="H24" i="13"/>
  <c r="S24" i="13"/>
  <c r="AD24" i="13"/>
  <c r="G36" i="13"/>
  <c r="R36" i="13"/>
  <c r="AC36" i="13"/>
  <c r="N10" i="13"/>
  <c r="Y10" i="13"/>
  <c r="AJ10" i="13"/>
  <c r="F21" i="13"/>
  <c r="Q21" i="13"/>
  <c r="AB21" i="13"/>
  <c r="D23" i="13"/>
  <c r="O23" i="13"/>
  <c r="Z23" i="13"/>
  <c r="I24" i="13"/>
  <c r="T24" i="13"/>
  <c r="AE24" i="13"/>
  <c r="L9" i="13"/>
  <c r="W9" i="13"/>
  <c r="AH9" i="13"/>
  <c r="L11" i="13"/>
  <c r="J21" i="13"/>
  <c r="U21" i="13"/>
  <c r="AF21" i="13"/>
  <c r="J23" i="13"/>
  <c r="U23" i="13"/>
  <c r="AF23" i="13"/>
  <c r="J26" i="13"/>
  <c r="U26" i="13"/>
  <c r="AF26" i="13"/>
  <c r="I33" i="13"/>
  <c r="T33" i="13"/>
  <c r="AE33" i="13"/>
  <c r="F33" i="13"/>
  <c r="Q33" i="13"/>
  <c r="AB33" i="13"/>
  <c r="J33" i="13"/>
  <c r="U33" i="13"/>
  <c r="AF33" i="13"/>
  <c r="L33" i="13"/>
  <c r="W33" i="13"/>
  <c r="AH33" i="13"/>
  <c r="M33" i="13"/>
  <c r="X33" i="13"/>
  <c r="AI33" i="13"/>
  <c r="D34" i="13"/>
  <c r="O34" i="13"/>
  <c r="Z34" i="13"/>
  <c r="N34" i="13"/>
  <c r="Y34" i="13"/>
  <c r="AJ34" i="13"/>
  <c r="E27" i="13"/>
  <c r="P27" i="13"/>
  <c r="AA27" i="13"/>
  <c r="K27" i="13"/>
  <c r="V27" i="13"/>
  <c r="AG27" i="13"/>
  <c r="D33" i="13"/>
  <c r="O33" i="13"/>
  <c r="Z33" i="13"/>
  <c r="L27" i="13"/>
  <c r="W27" i="13"/>
  <c r="AH27" i="13"/>
  <c r="M27" i="13"/>
  <c r="X27" i="13"/>
  <c r="AI27" i="13"/>
  <c r="D26" i="13"/>
  <c r="O26" i="13"/>
  <c r="Z26" i="13"/>
  <c r="N15" i="13"/>
  <c r="Y15" i="13"/>
  <c r="AJ15" i="13"/>
  <c r="N26" i="13"/>
  <c r="Y26" i="13"/>
  <c r="AJ26" i="13"/>
  <c r="I27" i="13"/>
  <c r="T27" i="13"/>
  <c r="AE27" i="13"/>
  <c r="F27" i="13"/>
  <c r="Q27" i="13"/>
  <c r="AB27" i="13"/>
  <c r="G27" i="13"/>
  <c r="R27" i="13"/>
  <c r="AC27" i="13"/>
  <c r="J27" i="13"/>
  <c r="U27" i="13"/>
  <c r="AF27" i="13"/>
  <c r="N33" i="13"/>
  <c r="Y33" i="13"/>
  <c r="AJ33" i="13"/>
  <c r="C7" i="13"/>
  <c r="E7" i="13"/>
  <c r="P7" i="13"/>
  <c r="AA7" i="13"/>
  <c r="G7" i="13"/>
  <c r="R7" i="13"/>
  <c r="AC7" i="13"/>
  <c r="H7" i="13"/>
  <c r="S7" i="13"/>
  <c r="AD7" i="13"/>
  <c r="I7" i="13"/>
  <c r="T7" i="13"/>
  <c r="AE7" i="13"/>
  <c r="J7" i="13"/>
  <c r="U7" i="13"/>
  <c r="AF7" i="13"/>
  <c r="K7" i="13"/>
  <c r="V7" i="13"/>
  <c r="AG7" i="13"/>
  <c r="D32" i="13"/>
  <c r="O32" i="13"/>
  <c r="Z32" i="13"/>
  <c r="H32" i="13"/>
  <c r="S32" i="13"/>
  <c r="AD32" i="13"/>
  <c r="I32" i="13"/>
  <c r="T32" i="13"/>
  <c r="AE32" i="13"/>
  <c r="J32" i="13"/>
  <c r="U32" i="13"/>
  <c r="AF32" i="13"/>
  <c r="D8" i="13"/>
  <c r="O8" i="13"/>
  <c r="Z8" i="13"/>
  <c r="L32" i="13"/>
  <c r="W32" i="13"/>
  <c r="AH32" i="13"/>
  <c r="G32" i="13"/>
  <c r="R32" i="13"/>
  <c r="AC32" i="13"/>
  <c r="E8" i="13"/>
  <c r="P8" i="13"/>
  <c r="AA8" i="13"/>
  <c r="E20" i="13"/>
  <c r="P20" i="13"/>
  <c r="AA20" i="13"/>
  <c r="F8" i="13"/>
  <c r="Q8" i="13"/>
  <c r="AB8" i="13"/>
  <c r="N20" i="13"/>
  <c r="Y20" i="13"/>
  <c r="AJ20" i="13"/>
  <c r="G8" i="13"/>
  <c r="R8" i="13"/>
  <c r="AC8" i="13"/>
  <c r="H8" i="13"/>
  <c r="S8" i="13"/>
  <c r="AD8" i="13"/>
  <c r="I31" i="13"/>
  <c r="T31" i="13"/>
  <c r="AE31" i="13"/>
  <c r="I8" i="13"/>
  <c r="T8" i="13"/>
  <c r="AE8" i="13"/>
  <c r="L8" i="13"/>
  <c r="W8" i="13"/>
  <c r="AH8" i="13"/>
  <c r="F32" i="13"/>
  <c r="Q32" i="13"/>
  <c r="AB32" i="13"/>
  <c r="G33" i="13"/>
  <c r="R33" i="13"/>
  <c r="AC33" i="13"/>
  <c r="J35" i="13"/>
  <c r="U35" i="13"/>
  <c r="AF35" i="13"/>
  <c r="I35" i="13"/>
  <c r="T35" i="13"/>
  <c r="AE35" i="13"/>
  <c r="M35" i="13"/>
  <c r="X35" i="13"/>
  <c r="AI35" i="13"/>
  <c r="G28" i="13"/>
  <c r="R28" i="13"/>
  <c r="AC28" i="13"/>
  <c r="F36" i="13"/>
  <c r="Q36" i="13"/>
  <c r="AB36" i="13"/>
  <c r="E31" i="13"/>
  <c r="P31" i="13"/>
  <c r="AA31" i="13"/>
  <c r="E11" i="13"/>
  <c r="P11" i="13"/>
  <c r="AA11" i="13"/>
  <c r="G11" i="13"/>
  <c r="R11" i="13"/>
  <c r="AC11" i="13"/>
  <c r="H11" i="13"/>
  <c r="S11" i="13"/>
  <c r="AD11" i="13"/>
  <c r="K11" i="13"/>
  <c r="V11" i="13"/>
  <c r="AG11" i="13"/>
  <c r="I12" i="13"/>
  <c r="T12" i="13"/>
  <c r="AE12" i="13"/>
  <c r="F12" i="13"/>
  <c r="Q12" i="13"/>
  <c r="AB12" i="13"/>
  <c r="G12" i="13"/>
  <c r="R12" i="13"/>
  <c r="AC12" i="13"/>
  <c r="D12" i="13"/>
  <c r="O12" i="13"/>
  <c r="Z12" i="13"/>
  <c r="E12" i="13"/>
  <c r="P12" i="13"/>
  <c r="AA12" i="13"/>
  <c r="N14" i="13"/>
  <c r="Y14" i="13"/>
  <c r="AJ14" i="13"/>
  <c r="M13" i="13"/>
  <c r="X13" i="13"/>
  <c r="AI13" i="13"/>
  <c r="J25" i="13"/>
  <c r="U25" i="13"/>
  <c r="AF25" i="13"/>
  <c r="L25" i="13"/>
  <c r="W25" i="13"/>
  <c r="AH25" i="13"/>
  <c r="M25" i="13"/>
  <c r="X25" i="13"/>
  <c r="AI25" i="13"/>
  <c r="D36" i="13"/>
  <c r="O36" i="13"/>
  <c r="Z36" i="13"/>
  <c r="N25" i="13"/>
  <c r="Y25" i="13"/>
  <c r="AJ25" i="13"/>
  <c r="F35" i="13"/>
  <c r="Q35" i="13"/>
  <c r="AB35" i="13"/>
  <c r="H36" i="13"/>
  <c r="S36" i="13"/>
  <c r="AD36" i="13"/>
  <c r="D25" i="13"/>
  <c r="O25" i="13"/>
  <c r="Z25" i="13"/>
  <c r="K33" i="13"/>
  <c r="V33" i="13"/>
  <c r="AG33" i="13"/>
  <c r="G35" i="13"/>
  <c r="R35" i="13"/>
  <c r="AC35" i="13"/>
  <c r="I36" i="13"/>
  <c r="T36" i="13"/>
  <c r="AE36" i="13"/>
  <c r="E25" i="13"/>
  <c r="P25" i="13"/>
  <c r="AA25" i="13"/>
  <c r="L13" i="13"/>
  <c r="W13" i="13"/>
  <c r="AH13" i="13"/>
  <c r="F25" i="13"/>
  <c r="Q25" i="13"/>
  <c r="AB25" i="13"/>
  <c r="K35" i="13"/>
  <c r="V35" i="13"/>
  <c r="AG35" i="13"/>
  <c r="K25" i="13"/>
  <c r="V25" i="13"/>
  <c r="AG25" i="13"/>
  <c r="D13" i="13"/>
  <c r="O13" i="13"/>
  <c r="Z13" i="13"/>
  <c r="G25" i="13"/>
  <c r="R25" i="13"/>
  <c r="AC25" i="13"/>
  <c r="E13" i="13"/>
  <c r="P13" i="13"/>
  <c r="AA13" i="13"/>
  <c r="H25" i="13"/>
  <c r="S25" i="13"/>
  <c r="AD25" i="13"/>
  <c r="F13" i="13"/>
  <c r="Q13" i="13"/>
  <c r="AB13" i="13"/>
  <c r="I25" i="13"/>
  <c r="T25" i="13"/>
  <c r="AE25" i="13"/>
  <c r="F34" i="13"/>
  <c r="Q34" i="13"/>
  <c r="AB34" i="13"/>
  <c r="H17" i="13"/>
  <c r="S17" i="13"/>
  <c r="AD17" i="13"/>
  <c r="D29" i="13"/>
  <c r="O29" i="13"/>
  <c r="Z29" i="13"/>
  <c r="I17" i="13"/>
  <c r="T17" i="13"/>
  <c r="AE17" i="13"/>
  <c r="E29" i="13"/>
  <c r="P29" i="13"/>
  <c r="AA29" i="13"/>
  <c r="J17" i="13"/>
  <c r="U17" i="13"/>
  <c r="AF17" i="13"/>
  <c r="F29" i="13"/>
  <c r="Q29" i="13"/>
  <c r="AB29" i="13"/>
  <c r="D30" i="13"/>
  <c r="O30" i="13"/>
  <c r="Z30" i="13"/>
  <c r="K17" i="13"/>
  <c r="V17" i="13"/>
  <c r="AG17" i="13"/>
  <c r="G29" i="13"/>
  <c r="R29" i="13"/>
  <c r="AC29" i="13"/>
  <c r="F30" i="13"/>
  <c r="Q30" i="13"/>
  <c r="AB30" i="13"/>
  <c r="L17" i="13"/>
  <c r="W17" i="13"/>
  <c r="AH17" i="13"/>
  <c r="H29" i="13"/>
  <c r="S29" i="13"/>
  <c r="AD29" i="13"/>
  <c r="M30" i="13"/>
  <c r="X30" i="13"/>
  <c r="AI30" i="13"/>
  <c r="M17" i="13"/>
  <c r="X17" i="13"/>
  <c r="AI17" i="13"/>
  <c r="I29" i="13"/>
  <c r="T29" i="13"/>
  <c r="AE29" i="13"/>
  <c r="N30" i="13"/>
  <c r="Y30" i="13"/>
  <c r="AJ30" i="13"/>
  <c r="J29" i="13"/>
  <c r="U29" i="13"/>
  <c r="AF29" i="13"/>
  <c r="N17" i="13"/>
  <c r="Y17" i="13"/>
  <c r="AJ17" i="13"/>
  <c r="K18" i="13"/>
  <c r="V18" i="13"/>
  <c r="AG18" i="13"/>
  <c r="K29" i="13"/>
  <c r="V29" i="13"/>
  <c r="AG29" i="13"/>
  <c r="D17" i="13"/>
  <c r="O17" i="13"/>
  <c r="Z17" i="13"/>
  <c r="N18" i="13"/>
  <c r="Y18" i="13"/>
  <c r="AJ18" i="13"/>
  <c r="L29" i="13"/>
  <c r="W29" i="13"/>
  <c r="AH29" i="13"/>
  <c r="D28" i="13"/>
  <c r="O28" i="13"/>
  <c r="Z28" i="13"/>
  <c r="D31" i="13"/>
  <c r="O31" i="13"/>
  <c r="Z31" i="13"/>
  <c r="H19" i="13"/>
  <c r="S19" i="13"/>
  <c r="AD19" i="13"/>
  <c r="H28" i="13"/>
  <c r="S28" i="13"/>
  <c r="AD28" i="13"/>
  <c r="F31" i="13"/>
  <c r="Q31" i="13"/>
  <c r="AB31" i="13"/>
  <c r="I28" i="13"/>
  <c r="T28" i="13"/>
  <c r="AE28" i="13"/>
  <c r="G31" i="13"/>
  <c r="R31" i="13"/>
  <c r="AC31" i="13"/>
  <c r="E16" i="13"/>
  <c r="P16" i="13"/>
  <c r="AA16" i="13"/>
  <c r="J28" i="13"/>
  <c r="U28" i="13"/>
  <c r="AF28" i="13"/>
  <c r="J31" i="13"/>
  <c r="U31" i="13"/>
  <c r="AF31" i="13"/>
  <c r="K31" i="13"/>
  <c r="V31" i="13"/>
  <c r="AG31" i="13"/>
  <c r="L31" i="13"/>
  <c r="W31" i="13"/>
  <c r="AH31" i="13"/>
  <c r="J10" i="13"/>
  <c r="U10" i="13"/>
  <c r="AF10" i="13"/>
  <c r="J14" i="13"/>
  <c r="U14" i="13"/>
  <c r="AF14" i="13"/>
  <c r="K15" i="13"/>
  <c r="V15" i="13"/>
  <c r="AG15" i="13"/>
  <c r="K16" i="13"/>
  <c r="V16" i="13"/>
  <c r="AG16" i="13"/>
  <c r="J18" i="13"/>
  <c r="U18" i="13"/>
  <c r="AF18" i="13"/>
  <c r="K19" i="13"/>
  <c r="V19" i="13"/>
  <c r="AG19" i="13"/>
  <c r="K20" i="13"/>
  <c r="V20" i="13"/>
  <c r="AG20" i="13"/>
  <c r="L34" i="13"/>
  <c r="W34" i="13"/>
  <c r="AH34" i="13"/>
  <c r="K34" i="13"/>
  <c r="V34" i="13"/>
  <c r="AG34" i="13"/>
  <c r="J34" i="13"/>
  <c r="U34" i="13"/>
  <c r="AF34" i="13"/>
  <c r="I34" i="13"/>
  <c r="T34" i="13"/>
  <c r="AE34" i="13"/>
  <c r="H34" i="13"/>
  <c r="S34" i="13"/>
  <c r="AD34" i="13"/>
  <c r="G34" i="13"/>
  <c r="R34" i="13"/>
  <c r="AC34" i="13"/>
  <c r="E34" i="13"/>
  <c r="P34" i="13"/>
  <c r="AA34" i="13"/>
  <c r="N9" i="13"/>
  <c r="Y9" i="13"/>
  <c r="AJ9" i="13"/>
  <c r="K10" i="13"/>
  <c r="V10" i="13"/>
  <c r="AG10" i="13"/>
  <c r="N13" i="13"/>
  <c r="Y13" i="13"/>
  <c r="AJ13" i="13"/>
  <c r="L14" i="13"/>
  <c r="W14" i="13"/>
  <c r="AH14" i="13"/>
  <c r="L15" i="13"/>
  <c r="W15" i="13"/>
  <c r="AH15" i="13"/>
  <c r="L16" i="13"/>
  <c r="W16" i="13"/>
  <c r="AH16" i="13"/>
  <c r="L18" i="13"/>
  <c r="W18" i="13"/>
  <c r="AH18" i="13"/>
  <c r="L19" i="13"/>
  <c r="W19" i="13"/>
  <c r="AH19" i="13"/>
  <c r="L20" i="13"/>
  <c r="W20" i="13"/>
  <c r="AH20" i="13"/>
  <c r="L22" i="13"/>
  <c r="W22" i="13"/>
  <c r="AH22" i="13"/>
  <c r="K22" i="13"/>
  <c r="V22" i="13"/>
  <c r="AG22" i="13"/>
  <c r="E22" i="13"/>
  <c r="P22" i="13"/>
  <c r="AA22" i="13"/>
  <c r="L10" i="13"/>
  <c r="W10" i="13"/>
  <c r="AH10" i="13"/>
  <c r="M14" i="13"/>
  <c r="X14" i="13"/>
  <c r="AI14" i="13"/>
  <c r="M15" i="13"/>
  <c r="X15" i="13"/>
  <c r="AI15" i="13"/>
  <c r="M16" i="13"/>
  <c r="X16" i="13"/>
  <c r="AI16" i="13"/>
  <c r="M18" i="13"/>
  <c r="X18" i="13"/>
  <c r="AI18" i="13"/>
  <c r="M19" i="13"/>
  <c r="X19" i="13"/>
  <c r="AI19" i="13"/>
  <c r="M20" i="13"/>
  <c r="X20" i="13"/>
  <c r="AI20" i="13"/>
  <c r="M7" i="13"/>
  <c r="X7" i="13"/>
  <c r="AI7" i="13"/>
  <c r="J8" i="13"/>
  <c r="U8" i="13"/>
  <c r="AF8" i="13"/>
  <c r="G9" i="13"/>
  <c r="R9" i="13"/>
  <c r="AC9" i="13"/>
  <c r="D10" i="13"/>
  <c r="O10" i="13"/>
  <c r="Z10" i="13"/>
  <c r="M11" i="13"/>
  <c r="X11" i="13"/>
  <c r="AI11" i="13"/>
  <c r="J12" i="13"/>
  <c r="U12" i="13"/>
  <c r="AF12" i="13"/>
  <c r="G13" i="13"/>
  <c r="R13" i="13"/>
  <c r="AC13" i="13"/>
  <c r="D14" i="13"/>
  <c r="O14" i="13"/>
  <c r="Z14" i="13"/>
  <c r="D15" i="13"/>
  <c r="O15" i="13"/>
  <c r="Z15" i="13"/>
  <c r="D16" i="13"/>
  <c r="O16" i="13"/>
  <c r="Z16" i="13"/>
  <c r="D18" i="13"/>
  <c r="O18" i="13"/>
  <c r="Z18" i="13"/>
  <c r="D19" i="13"/>
  <c r="O19" i="13"/>
  <c r="Z19" i="13"/>
  <c r="D20" i="13"/>
  <c r="O20" i="13"/>
  <c r="Z20" i="13"/>
  <c r="H22" i="13"/>
  <c r="S22" i="13"/>
  <c r="AD22" i="13"/>
  <c r="L26" i="13"/>
  <c r="W26" i="13"/>
  <c r="AH26" i="13"/>
  <c r="K26" i="13"/>
  <c r="V26" i="13"/>
  <c r="AG26" i="13"/>
  <c r="I26" i="13"/>
  <c r="T26" i="13"/>
  <c r="AE26" i="13"/>
  <c r="H26" i="13"/>
  <c r="S26" i="13"/>
  <c r="AD26" i="13"/>
  <c r="G26" i="13"/>
  <c r="R26" i="13"/>
  <c r="AC26" i="13"/>
  <c r="E26" i="13"/>
  <c r="P26" i="13"/>
  <c r="AA26" i="13"/>
  <c r="N7" i="13"/>
  <c r="Y7" i="13"/>
  <c r="AJ7" i="13"/>
  <c r="K8" i="13"/>
  <c r="V8" i="13"/>
  <c r="AG8" i="13"/>
  <c r="H9" i="13"/>
  <c r="S9" i="13"/>
  <c r="AD9" i="13"/>
  <c r="E10" i="13"/>
  <c r="P10" i="13"/>
  <c r="AA10" i="13"/>
  <c r="N11" i="13"/>
  <c r="Y11" i="13"/>
  <c r="AJ11" i="13"/>
  <c r="K12" i="13"/>
  <c r="V12" i="13"/>
  <c r="AG12" i="13"/>
  <c r="H13" i="13"/>
  <c r="S13" i="13"/>
  <c r="AD13" i="13"/>
  <c r="E14" i="13"/>
  <c r="P14" i="13"/>
  <c r="AA14" i="13"/>
  <c r="E15" i="13"/>
  <c r="P15" i="13"/>
  <c r="AA15" i="13"/>
  <c r="F16" i="13"/>
  <c r="Q16" i="13"/>
  <c r="AB16" i="13"/>
  <c r="E18" i="13"/>
  <c r="P18" i="13"/>
  <c r="AA18" i="13"/>
  <c r="E19" i="13"/>
  <c r="P19" i="13"/>
  <c r="AA19" i="13"/>
  <c r="F20" i="13"/>
  <c r="Q20" i="13"/>
  <c r="AB20" i="13"/>
  <c r="I22" i="13"/>
  <c r="T22" i="13"/>
  <c r="AE22" i="13"/>
  <c r="F10" i="13"/>
  <c r="Q10" i="13"/>
  <c r="AB10" i="13"/>
  <c r="I13" i="13"/>
  <c r="T13" i="13"/>
  <c r="AE13" i="13"/>
  <c r="F14" i="13"/>
  <c r="Q14" i="13"/>
  <c r="AB14" i="13"/>
  <c r="F15" i="13"/>
  <c r="Q15" i="13"/>
  <c r="AB15" i="13"/>
  <c r="G16" i="13"/>
  <c r="R16" i="13"/>
  <c r="AC16" i="13"/>
  <c r="F18" i="13"/>
  <c r="Q18" i="13"/>
  <c r="AB18" i="13"/>
  <c r="F19" i="13"/>
  <c r="Q19" i="13"/>
  <c r="AB19" i="13"/>
  <c r="G20" i="13"/>
  <c r="R20" i="13"/>
  <c r="AC20" i="13"/>
  <c r="J22" i="13"/>
  <c r="U22" i="13"/>
  <c r="AF22" i="13"/>
  <c r="D7" i="13"/>
  <c r="O7" i="13"/>
  <c r="Z7" i="13"/>
  <c r="M8" i="13"/>
  <c r="X8" i="13"/>
  <c r="AI8" i="13"/>
  <c r="J9" i="13"/>
  <c r="U9" i="13"/>
  <c r="AF9" i="13"/>
  <c r="G10" i="13"/>
  <c r="R10" i="13"/>
  <c r="AC10" i="13"/>
  <c r="D11" i="13"/>
  <c r="O11" i="13"/>
  <c r="Z11" i="13"/>
  <c r="M12" i="13"/>
  <c r="X12" i="13"/>
  <c r="AI12" i="13"/>
  <c r="J13" i="13"/>
  <c r="U13" i="13"/>
  <c r="AF13" i="13"/>
  <c r="G14" i="13"/>
  <c r="R14" i="13"/>
  <c r="AC14" i="13"/>
  <c r="G15" i="13"/>
  <c r="R15" i="13"/>
  <c r="AC15" i="13"/>
  <c r="H16" i="13"/>
  <c r="S16" i="13"/>
  <c r="AD16" i="13"/>
  <c r="G18" i="13"/>
  <c r="R18" i="13"/>
  <c r="AC18" i="13"/>
  <c r="G19" i="13"/>
  <c r="R19" i="13"/>
  <c r="AC19" i="13"/>
  <c r="H20" i="13"/>
  <c r="S20" i="13"/>
  <c r="AD20" i="13"/>
  <c r="M22" i="13"/>
  <c r="X22" i="13"/>
  <c r="AI22" i="13"/>
  <c r="F26" i="13"/>
  <c r="Q26" i="13"/>
  <c r="AB26" i="13"/>
  <c r="L30" i="13"/>
  <c r="W30" i="13"/>
  <c r="AH30" i="13"/>
  <c r="K30" i="13"/>
  <c r="V30" i="13"/>
  <c r="AG30" i="13"/>
  <c r="J30" i="13"/>
  <c r="U30" i="13"/>
  <c r="AF30" i="13"/>
  <c r="I30" i="13"/>
  <c r="T30" i="13"/>
  <c r="AE30" i="13"/>
  <c r="H30" i="13"/>
  <c r="S30" i="13"/>
  <c r="AD30" i="13"/>
  <c r="G30" i="13"/>
  <c r="R30" i="13"/>
  <c r="AC30" i="13"/>
  <c r="E30" i="13"/>
  <c r="P30" i="13"/>
  <c r="AA30" i="13"/>
  <c r="G42" i="13"/>
  <c r="O11" i="5"/>
  <c r="F42" i="13"/>
  <c r="M11" i="5"/>
  <c r="E42" i="13"/>
  <c r="L11" i="5"/>
  <c r="N8" i="13"/>
  <c r="Y8" i="13"/>
  <c r="AJ8" i="13"/>
  <c r="K9" i="13"/>
  <c r="V9" i="13"/>
  <c r="AG9" i="13"/>
  <c r="H10" i="13"/>
  <c r="S10" i="13"/>
  <c r="AD10" i="13"/>
  <c r="N12" i="13"/>
  <c r="Y12" i="13"/>
  <c r="AJ12" i="13"/>
  <c r="K13" i="13"/>
  <c r="V13" i="13"/>
  <c r="AG13" i="13"/>
  <c r="H14" i="13"/>
  <c r="S14" i="13"/>
  <c r="AD14" i="13"/>
  <c r="I15" i="13"/>
  <c r="T15" i="13"/>
  <c r="AE15" i="13"/>
  <c r="I16" i="13"/>
  <c r="T16" i="13"/>
  <c r="AE16" i="13"/>
  <c r="H18" i="13"/>
  <c r="S18" i="13"/>
  <c r="AD18" i="13"/>
  <c r="I19" i="13"/>
  <c r="T19" i="13"/>
  <c r="AE19" i="13"/>
  <c r="I20" i="13"/>
  <c r="T20" i="13"/>
  <c r="AE20" i="13"/>
  <c r="N22" i="13"/>
  <c r="Y22" i="13"/>
  <c r="AJ22" i="13"/>
  <c r="I14" i="13"/>
  <c r="T14" i="13"/>
  <c r="AE14" i="13"/>
  <c r="J15" i="13"/>
  <c r="U15" i="13"/>
  <c r="AF15" i="13"/>
  <c r="J16" i="13"/>
  <c r="U16" i="13"/>
  <c r="AF16" i="13"/>
  <c r="I18" i="13"/>
  <c r="T18" i="13"/>
  <c r="AE18" i="13"/>
  <c r="J19" i="13"/>
  <c r="U19" i="13"/>
  <c r="AF19" i="13"/>
  <c r="J20" i="13"/>
  <c r="U20" i="13"/>
  <c r="AF20" i="13"/>
  <c r="M26" i="13"/>
  <c r="X26" i="13"/>
  <c r="AI26" i="13"/>
  <c r="N23" i="13"/>
  <c r="Y23" i="13"/>
  <c r="AJ23" i="13"/>
  <c r="K24" i="13"/>
  <c r="V24" i="13"/>
  <c r="AG24" i="13"/>
  <c r="N27" i="13"/>
  <c r="Y27" i="13"/>
  <c r="AJ27" i="13"/>
  <c r="K28" i="13"/>
  <c r="V28" i="13"/>
  <c r="AG28" i="13"/>
  <c r="N31" i="13"/>
  <c r="Y31" i="13"/>
  <c r="AJ31" i="13"/>
  <c r="K32" i="13"/>
  <c r="V32" i="13"/>
  <c r="AG32" i="13"/>
  <c r="N35" i="13"/>
  <c r="Y35" i="13"/>
  <c r="AJ35" i="13"/>
  <c r="K36" i="13"/>
  <c r="V36" i="13"/>
  <c r="AG36" i="13"/>
  <c r="M28" i="13"/>
  <c r="X28" i="13"/>
  <c r="AI28" i="13"/>
  <c r="M32" i="13"/>
  <c r="X32" i="13"/>
  <c r="AI32" i="13"/>
  <c r="D35" i="13"/>
  <c r="O35" i="13"/>
  <c r="Z35" i="13"/>
  <c r="M36" i="13"/>
  <c r="X36" i="13"/>
  <c r="AI36" i="13"/>
  <c r="N24" i="13"/>
  <c r="Y24" i="13"/>
  <c r="AJ24" i="13"/>
  <c r="N28" i="13"/>
  <c r="Y28" i="13"/>
  <c r="AJ28" i="13"/>
  <c r="N32" i="13"/>
  <c r="Y32" i="13"/>
  <c r="AJ32" i="13"/>
  <c r="N36" i="13"/>
  <c r="Y36" i="13"/>
  <c r="AJ36" i="13"/>
  <c r="D47" i="13"/>
  <c r="A11" i="5"/>
  <c r="H23" i="13"/>
  <c r="S23" i="13"/>
  <c r="AD23" i="13"/>
  <c r="E24" i="13"/>
  <c r="P24" i="13"/>
  <c r="AA24" i="13"/>
  <c r="H27" i="13"/>
  <c r="S27" i="13"/>
  <c r="AD27" i="13"/>
  <c r="E28" i="13"/>
  <c r="P28" i="13"/>
  <c r="AA28" i="13"/>
  <c r="H31" i="13"/>
  <c r="S31" i="13"/>
  <c r="AD31" i="13"/>
  <c r="E32" i="13"/>
  <c r="P32" i="13"/>
  <c r="AA32" i="13"/>
  <c r="H35" i="13"/>
  <c r="S35" i="13"/>
  <c r="AD35" i="13"/>
  <c r="E36" i="13"/>
  <c r="P36" i="13"/>
  <c r="AA36" i="13"/>
  <c r="E47" i="13"/>
  <c r="C11" i="5"/>
  <c r="B44" i="13"/>
  <c r="I11" i="5"/>
  <c r="AK23" i="13"/>
  <c r="AL23" i="13"/>
  <c r="AM23" i="13"/>
  <c r="AN23" i="13"/>
  <c r="X23" i="11"/>
  <c r="W11" i="13"/>
  <c r="AH11" i="13"/>
  <c r="AK11" i="13"/>
  <c r="AL11" i="13"/>
  <c r="AM11" i="13"/>
  <c r="AN11" i="13"/>
  <c r="AK21" i="13"/>
  <c r="AL21" i="13"/>
  <c r="AM21" i="13"/>
  <c r="AN21" i="13"/>
  <c r="X21" i="11"/>
  <c r="AK33" i="13"/>
  <c r="AL33" i="13"/>
  <c r="AM33" i="13"/>
  <c r="AN33" i="13"/>
  <c r="X33" i="11"/>
  <c r="AK27" i="13"/>
  <c r="AL27" i="13"/>
  <c r="AM27" i="13"/>
  <c r="AN27" i="13"/>
  <c r="X27" i="11"/>
  <c r="AK32" i="13"/>
  <c r="AL32" i="13"/>
  <c r="AM32" i="13"/>
  <c r="AN32" i="13"/>
  <c r="X32" i="11"/>
  <c r="AK25" i="13"/>
  <c r="AL25" i="13"/>
  <c r="AM25" i="13"/>
  <c r="AN25" i="13"/>
  <c r="X25" i="11"/>
  <c r="AK36" i="13"/>
  <c r="AL36" i="13"/>
  <c r="AM36" i="13"/>
  <c r="AN36" i="13"/>
  <c r="X36" i="11"/>
  <c r="AK17" i="13"/>
  <c r="AL17" i="13"/>
  <c r="AM17" i="13"/>
  <c r="AK29" i="13"/>
  <c r="AL29" i="13"/>
  <c r="AM29" i="13"/>
  <c r="AN29" i="13"/>
  <c r="X29" i="11"/>
  <c r="AK12" i="13"/>
  <c r="AL12" i="13"/>
  <c r="AM12" i="13"/>
  <c r="AN12" i="13"/>
  <c r="AK26" i="13"/>
  <c r="AL26" i="13"/>
  <c r="AM26" i="13"/>
  <c r="AN26" i="13"/>
  <c r="X26" i="11"/>
  <c r="AK13" i="13"/>
  <c r="AL13" i="13"/>
  <c r="AM13" i="13"/>
  <c r="AN13" i="13"/>
  <c r="AK24" i="13"/>
  <c r="AL24" i="13"/>
  <c r="AM24" i="13"/>
  <c r="AN24" i="13"/>
  <c r="X24" i="11"/>
  <c r="AK35" i="13"/>
  <c r="AL35" i="13"/>
  <c r="AM35" i="13"/>
  <c r="AN35" i="13"/>
  <c r="X35" i="11"/>
  <c r="AK30" i="13"/>
  <c r="AL30" i="13"/>
  <c r="AM30" i="13"/>
  <c r="AN30" i="13"/>
  <c r="X30" i="11"/>
  <c r="AK22" i="13"/>
  <c r="AL22" i="13"/>
  <c r="AM22" i="13"/>
  <c r="AN22" i="13"/>
  <c r="X22" i="11"/>
  <c r="AK34" i="13"/>
  <c r="AL34" i="13"/>
  <c r="AM34" i="13"/>
  <c r="AN34" i="13"/>
  <c r="X34" i="11"/>
  <c r="AK31" i="13"/>
  <c r="AL31" i="13"/>
  <c r="AM31" i="13"/>
  <c r="AN31" i="13"/>
  <c r="X31" i="11"/>
  <c r="AK28" i="13"/>
  <c r="AL28" i="13"/>
  <c r="AM28" i="13"/>
  <c r="AN28" i="13"/>
  <c r="X28" i="11"/>
  <c r="AK8" i="13"/>
  <c r="AL8" i="13"/>
  <c r="AM8" i="13"/>
  <c r="AK9" i="13"/>
  <c r="AL9" i="13"/>
  <c r="AM9" i="13"/>
  <c r="AK19" i="13"/>
  <c r="AL19" i="13"/>
  <c r="AM19" i="13"/>
  <c r="AK18" i="13"/>
  <c r="AL18" i="13"/>
  <c r="AM18" i="13"/>
  <c r="AK16" i="13"/>
  <c r="AL16" i="13"/>
  <c r="AM16" i="13"/>
  <c r="AN16" i="13"/>
  <c r="AK20" i="13"/>
  <c r="AL20" i="13"/>
  <c r="AM20" i="13"/>
  <c r="AK15" i="13"/>
  <c r="AL15" i="13"/>
  <c r="AM15" i="13"/>
  <c r="AK14" i="13"/>
  <c r="AL14" i="13"/>
  <c r="AM14" i="13"/>
  <c r="AK7" i="13"/>
  <c r="AL7" i="13"/>
  <c r="AM7" i="13"/>
  <c r="AN7" i="13"/>
  <c r="AK10" i="13"/>
  <c r="AL10" i="13"/>
  <c r="AM10" i="13"/>
  <c r="AN10" i="13"/>
  <c r="AN20" i="13"/>
  <c r="X20" i="11"/>
  <c r="AN19" i="13"/>
  <c r="X19" i="11"/>
  <c r="AN18" i="13"/>
  <c r="X18" i="11"/>
  <c r="AN14" i="13"/>
  <c r="X14" i="11"/>
  <c r="AN17" i="13"/>
  <c r="X17" i="11"/>
  <c r="AN15" i="13"/>
  <c r="X15" i="11"/>
  <c r="X13" i="11"/>
  <c r="X16" i="11"/>
  <c r="X12" i="11"/>
  <c r="X11" i="11"/>
  <c r="X10" i="11"/>
  <c r="AN9" i="13"/>
  <c r="X9" i="11"/>
  <c r="AN8" i="13"/>
  <c r="X8" i="11"/>
  <c r="X7" i="11"/>
  <c r="J37" i="11"/>
  <c r="G37" i="11"/>
  <c r="H8" i="5"/>
  <c r="H37" i="11"/>
  <c r="U21" i="2"/>
  <c r="I37" i="11"/>
  <c r="L37" i="11"/>
  <c r="L39" i="11"/>
  <c r="M37" i="11"/>
  <c r="M39" i="11"/>
  <c r="N37" i="11"/>
  <c r="O37" i="11"/>
  <c r="R1" i="2"/>
  <c r="I1" i="2"/>
  <c r="U8" i="2"/>
  <c r="E8" i="5"/>
  <c r="U10" i="2"/>
  <c r="G15" i="3"/>
  <c r="L40" i="11"/>
  <c r="U9" i="2"/>
  <c r="Q4" i="5"/>
  <c r="U15" i="2"/>
</calcChain>
</file>

<file path=xl/sharedStrings.xml><?xml version="1.0" encoding="utf-8"?>
<sst xmlns="http://schemas.openxmlformats.org/spreadsheetml/2006/main" count="475" uniqueCount="318">
  <si>
    <t>Datum</t>
  </si>
  <si>
    <t xml:space="preserve"> </t>
  </si>
  <si>
    <t>Wagennummer</t>
  </si>
  <si>
    <t>RID</t>
  </si>
  <si>
    <t>P</t>
  </si>
  <si>
    <t>G</t>
  </si>
  <si>
    <t>1-2</t>
  </si>
  <si>
    <t>3-4</t>
  </si>
  <si>
    <t>9-11</t>
  </si>
  <si>
    <t>12</t>
  </si>
  <si>
    <t>Brems-</t>
  </si>
  <si>
    <t>für Zug</t>
  </si>
  <si>
    <t>am</t>
  </si>
  <si>
    <t>ab</t>
  </si>
  <si>
    <t>zettel</t>
  </si>
  <si>
    <t>1</t>
  </si>
  <si>
    <t>2</t>
  </si>
  <si>
    <t>3</t>
  </si>
  <si>
    <t>4</t>
  </si>
  <si>
    <t>5</t>
  </si>
  <si>
    <t>6</t>
  </si>
  <si>
    <t>Zeile</t>
  </si>
  <si>
    <t>Bezeichnung</t>
  </si>
  <si>
    <t>Wagenzug</t>
  </si>
  <si>
    <t>arbeitende</t>
  </si>
  <si>
    <t>Gesamtzug</t>
  </si>
  <si>
    <t>Triebfahrzeuge</t>
  </si>
  <si>
    <t>Angaben</t>
  </si>
  <si>
    <t>Gewicht (t)</t>
  </si>
  <si>
    <t>für Reise-</t>
  </si>
  <si>
    <t>Bremsgewicht (t)</t>
  </si>
  <si>
    <t>und</t>
  </si>
  <si>
    <t>Zahl der Achsen</t>
  </si>
  <si>
    <t>Güterzüge</t>
  </si>
  <si>
    <t>Mindestbremshundertstel</t>
  </si>
  <si>
    <t>Vorhandene</t>
  </si>
  <si>
    <t>Zeile 2, Sp 6    x 100</t>
  </si>
  <si>
    <t>Bremshundertstel</t>
  </si>
  <si>
    <t>Zeile 1, Sp 6</t>
  </si>
  <si>
    <t>Fehlende Bremshundertstel</t>
  </si>
  <si>
    <t>7</t>
  </si>
  <si>
    <t>Nummer des letzten Fahrzeugs</t>
  </si>
  <si>
    <t>8</t>
  </si>
  <si>
    <t>Zahl der einlösigen Bremsen</t>
  </si>
  <si>
    <t>9</t>
  </si>
  <si>
    <t>Zahl der mehrlösigen Bremsen</t>
  </si>
  <si>
    <t>10</t>
  </si>
  <si>
    <t>Zahl der Bremsen mit   D</t>
  </si>
  <si>
    <t>11</t>
  </si>
  <si>
    <t>Zahl der Bremsen mit   K             oder</t>
  </si>
  <si>
    <t>Zahl der Matrossow-Bremsen</t>
  </si>
  <si>
    <t>13</t>
  </si>
  <si>
    <t>Länge (m)</t>
  </si>
  <si>
    <t>14</t>
  </si>
  <si>
    <t>Zahl der gebremsten Achsen</t>
  </si>
  <si>
    <t>15</t>
  </si>
  <si>
    <t>Zahl de erforderlichen</t>
  </si>
  <si>
    <t>Zeile 3, Sp 4 x 9</t>
  </si>
  <si>
    <t>gebremsten Achsen</t>
  </si>
  <si>
    <t>16</t>
  </si>
  <si>
    <t>Im Wagenzug sind Fahrzeuge, deren</t>
  </si>
  <si>
    <t>Nicht Zutreffendes schräg durchstreichen</t>
  </si>
  <si>
    <t>zulässige Geschwindigkeit niedriger ist als</t>
  </si>
  <si>
    <t>nein / ja *)</t>
  </si>
  <si>
    <t>die des Zuges</t>
  </si>
  <si>
    <t>Wenn ja, niedrigste zulässige Geschwin-</t>
  </si>
  <si>
    <t>digkeit eines Fahrzeuges im Wagenzug</t>
  </si>
  <si>
    <t>km/h</t>
  </si>
  <si>
    <t>Besondere</t>
  </si>
  <si>
    <t>21</t>
  </si>
  <si>
    <t>NBÜ/ep-Bremse an allen Fahrzeugen</t>
  </si>
  <si>
    <t>nein / ja</t>
  </si>
  <si>
    <t>im Wagenzug vorhanden</t>
  </si>
  <si>
    <t>für</t>
  </si>
  <si>
    <t>22</t>
  </si>
  <si>
    <t>Notbremsüberbrückung wirksam</t>
  </si>
  <si>
    <t>23</t>
  </si>
  <si>
    <t>Im Wagenzug sind Fahrzeuge mit</t>
  </si>
  <si>
    <r>
      <rPr>
        <sz val="8"/>
        <rFont val="Arial"/>
        <family val="2"/>
      </rPr>
      <t>den Kennbuchstaben</t>
    </r>
    <r>
      <rPr>
        <b/>
        <sz val="8"/>
        <rFont val="Arial"/>
        <family val="2"/>
      </rPr>
      <t xml:space="preserve"> h</t>
    </r>
    <r>
      <rPr>
        <sz val="8"/>
        <rFont val="Arial"/>
        <family val="2"/>
      </rPr>
      <t xml:space="preserve">, </t>
    </r>
    <r>
      <rPr>
        <b/>
        <sz val="8"/>
        <rFont val="Arial"/>
        <family val="2"/>
      </rPr>
      <t>z</t>
    </r>
    <r>
      <rPr>
        <sz val="8"/>
        <rFont val="Arial"/>
        <family val="2"/>
      </rPr>
      <t xml:space="preserve"> oder </t>
    </r>
  </si>
  <si>
    <t>24</t>
  </si>
  <si>
    <r>
      <t>den Kennbuchstaben</t>
    </r>
    <r>
      <rPr>
        <b/>
        <sz val="8"/>
        <rFont val="Arial"/>
        <family val="2"/>
      </rPr>
      <t xml:space="preserve"> n </t>
    </r>
    <r>
      <rPr>
        <sz val="8"/>
        <rFont val="Arial"/>
        <family val="2"/>
      </rPr>
      <t>oder</t>
    </r>
    <r>
      <rPr>
        <b/>
        <sz val="8"/>
        <rFont val="Arial"/>
        <family val="2"/>
      </rPr>
      <t xml:space="preserve"> y</t>
    </r>
  </si>
  <si>
    <t>25</t>
  </si>
  <si>
    <t>Im Wagenzug sind ausschließlich</t>
  </si>
  <si>
    <r>
      <t xml:space="preserve">Fahrzeuge mit </t>
    </r>
    <r>
      <rPr>
        <b/>
        <sz val="8"/>
        <rFont val="Arial"/>
        <family val="2"/>
      </rPr>
      <t>TB0</t>
    </r>
  </si>
  <si>
    <t>26</t>
  </si>
  <si>
    <r>
      <t>Fahrzeuge mit "</t>
    </r>
    <r>
      <rPr>
        <b/>
        <sz val="8"/>
        <rFont val="Arial"/>
        <family val="2"/>
      </rPr>
      <t>o. ZUB</t>
    </r>
    <r>
      <rPr>
        <sz val="8"/>
        <rFont val="Arial"/>
        <family val="2"/>
      </rPr>
      <t>"</t>
    </r>
  </si>
  <si>
    <t>27</t>
  </si>
  <si>
    <r>
      <rPr>
        <sz val="8"/>
        <rFont val="Arial"/>
        <family val="2"/>
      </rPr>
      <t xml:space="preserve">Fahrzeuge mit Kennbuchstaben </t>
    </r>
    <r>
      <rPr>
        <b/>
        <sz val="8"/>
        <rFont val="Arial"/>
        <family val="2"/>
      </rPr>
      <t>a</t>
    </r>
  </si>
  <si>
    <t>31</t>
  </si>
  <si>
    <t>gefährlichen Gütern</t>
  </si>
  <si>
    <t>32</t>
  </si>
  <si>
    <t>ep-Bremse an allen Fahrzeugen im</t>
  </si>
  <si>
    <t>Wagenzug wirksam</t>
  </si>
  <si>
    <t>Bremszettel ausgefertigt:</t>
  </si>
  <si>
    <t>*) Weisung der Betriebsleitung einholen</t>
  </si>
  <si>
    <t>Ort und Datum</t>
  </si>
  <si>
    <t>Geschäftsstelle des Erstellers</t>
  </si>
  <si>
    <t>Name des Erstellers und Unterschrift</t>
  </si>
  <si>
    <t>n.Bt. : nach Betriebstechnologie / Schaden muss demnächst behoben werden</t>
  </si>
  <si>
    <t>n.El. : nach Entladung</t>
  </si>
  <si>
    <t>n.Bt.</t>
  </si>
  <si>
    <t>n.El.</t>
  </si>
  <si>
    <t>sofort</t>
  </si>
  <si>
    <t>Beschreibung des Schadens</t>
  </si>
  <si>
    <t>Schadcode</t>
  </si>
  <si>
    <t>Halter</t>
  </si>
  <si>
    <t>Werkstattzuführung</t>
  </si>
  <si>
    <t>Schadwagen</t>
  </si>
  <si>
    <t>Besonderheiten :</t>
  </si>
  <si>
    <t>nein</t>
  </si>
  <si>
    <t>ja</t>
  </si>
  <si>
    <t>Gefahrgut:</t>
  </si>
  <si>
    <t>Grund:</t>
  </si>
  <si>
    <t>Uhrzeit :</t>
  </si>
  <si>
    <t xml:space="preserve">  nein</t>
  </si>
  <si>
    <t>volle Bremsprobe durchgeführt :</t>
  </si>
  <si>
    <t>Schlußscheiben gesteckt:</t>
  </si>
  <si>
    <t>Ort:</t>
  </si>
  <si>
    <t>Achsen:</t>
  </si>
  <si>
    <t>Auftragsnummer</t>
  </si>
  <si>
    <t>Uhrzeit:</t>
  </si>
  <si>
    <t>Wagenanzahl:</t>
  </si>
  <si>
    <t>Name:</t>
  </si>
  <si>
    <t>Datum:</t>
  </si>
  <si>
    <t>Zugnummer :</t>
  </si>
  <si>
    <t>WU / ZP Protokoll</t>
  </si>
  <si>
    <t>Gelsen-Log, Am Stadthafen 45, 45881 Gelsenkirchen, Tel.: 0209 - 9541850</t>
  </si>
  <si>
    <t>Gelsen - Log</t>
  </si>
  <si>
    <t>Am Stadthafen 45</t>
  </si>
  <si>
    <t>Telefon: +49 (0) 209 / 9541850</t>
  </si>
  <si>
    <t>45881 Gelsenkirchen</t>
  </si>
  <si>
    <t>Zugnummer</t>
  </si>
  <si>
    <t>EGBK</t>
  </si>
  <si>
    <t>Gelsenkirchen,</t>
  </si>
  <si>
    <t>Gleis:</t>
  </si>
  <si>
    <t xml:space="preserve"> nach:</t>
  </si>
  <si>
    <t>Erstes Fahrzeug</t>
  </si>
  <si>
    <t>Letztes Fahrzeug</t>
  </si>
  <si>
    <t>Prüfziffer</t>
  </si>
  <si>
    <t>Lfd-Nr.</t>
  </si>
  <si>
    <t>2. St.</t>
  </si>
  <si>
    <t>3. St.</t>
  </si>
  <si>
    <t>4. St.</t>
  </si>
  <si>
    <t>8. St.</t>
  </si>
  <si>
    <t>7.St.</t>
  </si>
  <si>
    <t>6. St.</t>
  </si>
  <si>
    <t>5. St.</t>
  </si>
  <si>
    <t>9. St.</t>
  </si>
  <si>
    <t xml:space="preserve">10. St. </t>
  </si>
  <si>
    <t xml:space="preserve">11. St. </t>
  </si>
  <si>
    <t>1. St.</t>
  </si>
  <si>
    <t>Zerlegung Wagennummern</t>
  </si>
  <si>
    <t>M. 
1. St.</t>
  </si>
  <si>
    <t>M.
2.St.</t>
  </si>
  <si>
    <t>M.
3.St.</t>
  </si>
  <si>
    <t>M.
4.St.</t>
  </si>
  <si>
    <t>M.
5.St.</t>
  </si>
  <si>
    <t>M.
6.St.</t>
  </si>
  <si>
    <t>M.
7.St.</t>
  </si>
  <si>
    <t>M.
8.St.</t>
  </si>
  <si>
    <t>M.
9.St.</t>
  </si>
  <si>
    <t>M.
10.St.</t>
  </si>
  <si>
    <t>M.
11.St.</t>
  </si>
  <si>
    <t>Multiplikation Algorythmus</t>
  </si>
  <si>
    <t>Q.
1.St.</t>
  </si>
  <si>
    <t>Q.
2.St.</t>
  </si>
  <si>
    <t>Q.
3.St.</t>
  </si>
  <si>
    <t>Q.
4.St.</t>
  </si>
  <si>
    <t>Q.
5.St.</t>
  </si>
  <si>
    <t>Q.
6.St.</t>
  </si>
  <si>
    <t>Q.
7.St.</t>
  </si>
  <si>
    <t>Q.
8.St.</t>
  </si>
  <si>
    <t>Q.
9.St.</t>
  </si>
  <si>
    <t>Q.
10.St.</t>
  </si>
  <si>
    <t>Q.
11.St.</t>
  </si>
  <si>
    <t>Quersumme ges.</t>
  </si>
  <si>
    <t>Quersumme Algorythmus</t>
  </si>
  <si>
    <t>Nächsthöhere Zehnerzahl</t>
  </si>
  <si>
    <t>Errechnete
Kontrollziffer</t>
  </si>
  <si>
    <t>Letzte Wagennummer</t>
  </si>
  <si>
    <t xml:space="preserve">Meldezettel Abstellung </t>
  </si>
  <si>
    <t xml:space="preserve">Meldezettel Zugvorbereitung für Zug </t>
  </si>
  <si>
    <t xml:space="preserve">Abgestellt in </t>
  </si>
  <si>
    <t>Datum des Verkehrstages</t>
  </si>
  <si>
    <t>Betriebsstelle</t>
  </si>
  <si>
    <t>Gleis</t>
  </si>
  <si>
    <t>Abgestellt am</t>
  </si>
  <si>
    <t>Uhrzeit</t>
  </si>
  <si>
    <t>Angaben zum Zug</t>
  </si>
  <si>
    <t>Gewicht/Achsen</t>
  </si>
  <si>
    <t>Name (Druckschrift)</t>
  </si>
  <si>
    <t>Nummer des letzten Fahrzeuges des Wagenzuges</t>
  </si>
  <si>
    <t>Angaben zum Zug bestätigt</t>
  </si>
  <si>
    <t xml:space="preserve">                                   Sicherung nur mit Druckluftbremse</t>
  </si>
  <si>
    <t xml:space="preserve">                                   Sicherung nur mit Triebfahrzeug</t>
  </si>
  <si>
    <t>Durchgeführte Tätigkeiten der Zugvorbereitung</t>
  </si>
  <si>
    <t>Hemmschuhe
Radvorleger</t>
  </si>
  <si>
    <t>Feststell-
bremsen</t>
  </si>
  <si>
    <t>Lastwechsel</t>
  </si>
  <si>
    <t>Tätigkeit</t>
  </si>
  <si>
    <t>Auftrag</t>
  </si>
  <si>
    <t>1. ordnungsgemäßer Kuppelzustand
 geprüft</t>
  </si>
  <si>
    <t>3. volle Bremsprobe 
durchgeführt</t>
  </si>
  <si>
    <t>4. Schlusssignal angebracht</t>
  </si>
  <si>
    <t>5. Nummer der Beförderungs-anordnung(en) dem Fahrdienstleiter mitgeteilt</t>
  </si>
  <si>
    <t>6. Triebfahrzeug(e) gekuppelt</t>
  </si>
  <si>
    <t>7. Sicherung gegen unbeabsichtigtes Bewegen aufgehoben</t>
  </si>
  <si>
    <t>8. vereinfachte Bremsprobe durchgeführt</t>
  </si>
  <si>
    <t>Tonnen</t>
  </si>
  <si>
    <t xml:space="preserve"> Achsen</t>
  </si>
  <si>
    <r>
      <rPr>
        <b/>
        <sz val="12"/>
        <color theme="1"/>
        <rFont val="Calibri"/>
        <family val="2"/>
        <scheme val="minor"/>
      </rPr>
      <t>Fahrzeugnummer</t>
    </r>
    <r>
      <rPr>
        <sz val="12"/>
        <color theme="1"/>
        <rFont val="Calibri"/>
        <family val="2"/>
        <scheme val="minor"/>
      </rPr>
      <t xml:space="preserve"> (vier Endziffern)</t>
    </r>
  </si>
  <si>
    <t>___</t>
  </si>
  <si>
    <t xml:space="preserve">                 Zug verkehrt mit Dauer-</t>
  </si>
  <si>
    <r>
      <t xml:space="preserve">Datum                   Uhrzeit    Name </t>
    </r>
    <r>
      <rPr>
        <sz val="9"/>
        <color theme="1"/>
        <rFont val="Calibri"/>
        <family val="2"/>
        <scheme val="minor"/>
      </rPr>
      <t>(Druckschrift)</t>
    </r>
  </si>
  <si>
    <r>
      <rPr>
        <b/>
        <sz val="10"/>
        <color theme="1"/>
        <rFont val="Calibri"/>
        <family val="2"/>
        <scheme val="minor"/>
      </rPr>
      <t>Erstellt</t>
    </r>
    <r>
      <rPr>
        <sz val="14"/>
        <color theme="1"/>
        <rFont val="Calibri"/>
        <family val="2"/>
        <scheme val="minor"/>
      </rPr>
      <t xml:space="preserve"> </t>
    </r>
  </si>
  <si>
    <t>Erste Wagennummer</t>
  </si>
  <si>
    <t>1.St.</t>
  </si>
  <si>
    <t>2.St.</t>
  </si>
  <si>
    <t>3.St.</t>
  </si>
  <si>
    <t>4.St.</t>
  </si>
  <si>
    <r>
      <rPr>
        <b/>
        <sz val="16"/>
        <color theme="1"/>
        <rFont val="Calibri"/>
        <family val="2"/>
        <scheme val="minor"/>
      </rPr>
      <t>Erstes Fahrzeug</t>
    </r>
    <r>
      <rPr>
        <sz val="16"/>
        <color theme="1"/>
        <rFont val="Calibri"/>
        <family val="2"/>
        <scheme val="minor"/>
      </rPr>
      <t xml:space="preserve"> (vier Endziffern)</t>
    </r>
  </si>
  <si>
    <r>
      <rPr>
        <b/>
        <sz val="16"/>
        <color theme="1"/>
        <rFont val="Calibri"/>
        <family val="2"/>
        <scheme val="minor"/>
      </rPr>
      <t>Letztes Fahrzeug</t>
    </r>
    <r>
      <rPr>
        <sz val="16"/>
        <color theme="1"/>
        <rFont val="Calibri"/>
        <family val="2"/>
        <scheme val="minor"/>
      </rPr>
      <t xml:space="preserve"> (vier Endziffern)</t>
    </r>
  </si>
  <si>
    <t xml:space="preserve">Nummer des ersten Fahrzeuges des Wagenzuges </t>
  </si>
  <si>
    <t xml:space="preserve">                 Beförderungsanordnung(en) vollzählig</t>
  </si>
  <si>
    <t xml:space="preserve">                 Beförderungsanordnung(en)</t>
  </si>
  <si>
    <t xml:space="preserve">                Beförderungs-/Begleitpapiere vollzählig</t>
  </si>
  <si>
    <t xml:space="preserve">                Zug verkehrt ohne Beförderungs-</t>
  </si>
  <si>
    <t xml:space="preserve">                Begleitpapiere</t>
  </si>
  <si>
    <t>___.___.____ - ___:___ - ______________</t>
  </si>
  <si>
    <r>
      <t xml:space="preserve">Angaben zur Sicherung  </t>
    </r>
    <r>
      <rPr>
        <sz val="14"/>
        <color theme="1"/>
        <rFont val="Calibri"/>
        <family val="2"/>
        <scheme val="minor"/>
      </rPr>
      <t xml:space="preserve"> (zutreffendes ankreuzen)</t>
    </r>
  </si>
  <si>
    <r>
      <rPr>
        <sz val="14"/>
        <color theme="1"/>
        <rFont val="Calibri"/>
        <family val="2"/>
        <scheme val="minor"/>
      </rPr>
      <t>Noch auszuführende Zusatzarbeiten für den Abschluss der Zugvorbereitung</t>
    </r>
    <r>
      <rPr>
        <b/>
        <sz val="11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Lfd.-Nr.                              Auftrag                                                                                                                   Erledigt (Name)</t>
    </r>
  </si>
  <si>
    <t>X</t>
  </si>
  <si>
    <t>Ausgang</t>
  </si>
  <si>
    <r>
      <rPr>
        <b/>
        <sz val="11"/>
        <color rgb="FF030303"/>
        <rFont val="Arial"/>
        <family val="2"/>
      </rPr>
      <t>Gültig ab Bahnhof</t>
    </r>
    <r>
      <rPr>
        <b/>
        <sz val="11"/>
        <color rgb="FF2D2D2D"/>
        <rFont val="Arial"/>
        <family val="2"/>
      </rPr>
      <t>:</t>
    </r>
  </si>
  <si>
    <t>Gültig bis Bahnhof:</t>
  </si>
  <si>
    <t>Pos.</t>
  </si>
  <si>
    <t>Nummer</t>
  </si>
  <si>
    <t>Anzahl Radsätze</t>
  </si>
  <si>
    <t>Länge über Puffer (m)</t>
  </si>
  <si>
    <t>Ladungs-gewicht (t)</t>
  </si>
  <si>
    <t>Gesamt-gewicht (t)</t>
  </si>
  <si>
    <t>Brems-sohlentyp</t>
  </si>
  <si>
    <r>
      <rPr>
        <b/>
        <sz val="11"/>
        <color rgb="FF030303"/>
        <rFont val="Arial"/>
        <family val="2"/>
      </rPr>
      <t>Brems­
gewicht</t>
    </r>
    <r>
      <rPr>
        <b/>
        <sz val="11"/>
        <color rgb="FF2D2D2D"/>
        <rFont val="Arial"/>
        <family val="2"/>
      </rPr>
      <t xml:space="preserve"> (</t>
    </r>
    <r>
      <rPr>
        <b/>
        <sz val="11"/>
        <color rgb="FF030303"/>
        <rFont val="Arial"/>
        <family val="2"/>
      </rPr>
      <t>t)</t>
    </r>
  </si>
  <si>
    <t>wirksame Bremsen</t>
  </si>
  <si>
    <t>Fest-halte-kraft Hbr
 (kN)</t>
  </si>
  <si>
    <t>außergewöhnl. Sendung</t>
  </si>
  <si>
    <r>
      <rPr>
        <b/>
        <sz val="11"/>
        <color rgb="FF030303"/>
        <rFont val="Arial"/>
        <family val="2"/>
      </rPr>
      <t>Zielbahnhof</t>
    </r>
  </si>
  <si>
    <r>
      <t xml:space="preserve">V </t>
    </r>
    <r>
      <rPr>
        <b/>
        <vertAlign val="subscript"/>
        <sz val="11"/>
        <color rgb="FF000000"/>
        <rFont val="Arial"/>
        <family val="2"/>
      </rPr>
      <t>Max</t>
    </r>
    <r>
      <rPr>
        <b/>
        <sz val="11"/>
        <color rgb="FF000000"/>
        <rFont val="Arial"/>
        <family val="2"/>
      </rPr>
      <t xml:space="preserve"> km/h</t>
    </r>
  </si>
  <si>
    <t>erforderliche Streckenklasse</t>
  </si>
  <si>
    <t>Bemerkungen</t>
  </si>
  <si>
    <t>Gef.
Nr</t>
  </si>
  <si>
    <t>UN
Nr</t>
  </si>
  <si>
    <t>Gef.
Zettel</t>
  </si>
  <si>
    <t>61 Erstellungsdatum</t>
  </si>
  <si>
    <t>62 Erstellungszeit</t>
  </si>
  <si>
    <t>63 erstellt durch Mitarbeiter</t>
  </si>
  <si>
    <t>Erläuterung der Felder:</t>
  </si>
  <si>
    <t>Position des Wagens im Wagenzug, inkl. nicht arbeitende Triebfahrzeuge (arbeitende Triebfahrzeuge werden nicht dargestellt). Startend mit 1.</t>
  </si>
  <si>
    <t>Wagennummer gemäß UIC Standard. Ziffergruppen 1-2, 3-4, 5-8, 9-11 und 12 sind durch Spalten getrennt.</t>
  </si>
  <si>
    <t>Anzahl der Radsätze des Wagens.</t>
  </si>
  <si>
    <t>Wagenlänge über Puffer, angegeben in Metern [m] mit zwei Dezimalstellen.</t>
  </si>
  <si>
    <t>Gewicht der Ladung, die sich auf dem Wagen befindet (in t), mind. mit einer Dezimalstelle.</t>
  </si>
  <si>
    <t>Gesamtgewicht des Wagens, (in t), mind. mit einer Dezimalstelle.</t>
  </si>
  <si>
    <t>Die Bremssohlenart der im Wagen verwendeten Bremsen: 
K - K-Sohlen, 
L - L-Sohlen, 
LL - LL-Sohlen, 
D - Scheibenbremsen, 
F - Graugusssohlen</t>
  </si>
  <si>
    <t>Bremsgewicht des Wagens vor vorgesehenen Abzügen, angegeben in Tonnen (abgerundet). Bei ausgeschalteten Bremsen ist ein Minuszeichen '-' anzugeben. Für P-Wagen ist die Spalte P und für G-Wagen die Spalte G auszufüllen. Für Wagen mit Matrossow-Bremsen ist die Spalte G auszufüllen und zusätzlich in Spalte 59 eine Notiz „Matrossow“ auszufüllen.</t>
  </si>
  <si>
    <t>Anzahl der ein geschaltteten Bremsen am Wagen.</t>
  </si>
  <si>
    <t>Verfügbare Handbremsen-Festhaltekraft des Wagens, angegeben in kN ( abgerundet).</t>
  </si>
  <si>
    <t>Die RID UN-Nummern, Gefahr-Nummern und Gefahrzettel, die für die Güter im Wagen gelten. Falls mehrere UN-Nummer   oder Gefahrzettel für denselben Wagen vorhanden sind, können weitere Zeilen verwendet werden. Ein Minuszeichen "-" ist anzugeben  falls kein RID enthalten ist.</t>
  </si>
  <si>
    <t>Ankreuzen, wenn der Wagen als außergewöhnliche Sendung gekennzeichnet ist (d.h. BZA-Nummer vorhanden). Sollte die Sendung nur in einigen Ländern als außergewöhnliche Sendung gelten, ist dies im Feld 59 zu merken.</t>
  </si>
  <si>
    <t>Der Name des Zielbahnhofs des Wagens, in Buchstaben geschrieben.</t>
  </si>
  <si>
    <t>Die maximal zulässige Geschwindigkeit des Wagens gemäß dem lauftechnischen Zustand (**, ***) oder Ladungszustand des Wagens, angegeben in km/h. Eventuelle länderspezifische Geschwindigkeitsbegrenzungen des Wagens sind zusätzlich in die Spalte 59 zu vermerken.</t>
  </si>
  <si>
    <t>Die erforderliche Streckenklasse des Wagens (z.B. D2). Im Bereich von A-C ist nur der Buchstabe (z.B. B) erforderlich, ab D ist auch die Nummer (z.B. D2) einzugeben.</t>
  </si>
  <si>
    <t>Weitere Bemerkungen zum Wagen in freier Textform, z.B. Hinweise auf Güter mit spezifischen Risiken (CHLOR, Wind, LQ) oder länderspezifische Geschwindigkeitsbegrenzungen des Wagens.</t>
  </si>
  <si>
    <t>Erstellungsdatum der Wagenliste. ( Pflichtfeld)</t>
  </si>
  <si>
    <t>Erstellungszeit der Wagenliste. ( Pflichtfeld)</t>
  </si>
  <si>
    <t>Name und Unterschrift des Wagenlistenerstellers. Alternativ darf ein ID-Code oder ähnliches angewendet werden unter der Bedingung dass die zuständige Person in EVU IT-System identifizierbar ist. (Pflichtfeld)</t>
  </si>
  <si>
    <t>5-7</t>
  </si>
  <si>
    <r>
      <t xml:space="preserve">                      </t>
    </r>
    <r>
      <rPr>
        <b/>
        <sz val="16"/>
        <color rgb="FF030303"/>
        <rFont val="Arial"/>
        <family val="2"/>
      </rPr>
      <t>Wagenliste</t>
    </r>
    <r>
      <rPr>
        <b/>
        <sz val="14"/>
        <color rgb="FF030303"/>
        <rFont val="Arial"/>
        <family val="2"/>
      </rPr>
      <t xml:space="preserve"> </t>
    </r>
    <r>
      <rPr>
        <sz val="11"/>
        <color rgb="FF030303"/>
        <rFont val="Arial"/>
        <family val="2"/>
      </rPr>
      <t>(Wg und nicht arbeitende Tfz)</t>
    </r>
  </si>
  <si>
    <t>Wagenliste für Güterzüge</t>
  </si>
  <si>
    <t xml:space="preserve">Seite:  </t>
  </si>
  <si>
    <t>von</t>
  </si>
  <si>
    <t>nach</t>
  </si>
  <si>
    <t xml:space="preserve">Ersteller:  </t>
  </si>
  <si>
    <t>Lfn. A - Z</t>
  </si>
  <si>
    <t>Lfn. Z - A</t>
  </si>
  <si>
    <t>Gattungs- buchstaben</t>
  </si>
  <si>
    <t>Anzahl der Achsen</t>
  </si>
  <si>
    <t>Länge über Puffer</t>
  </si>
  <si>
    <t xml:space="preserve">Eigen-gewicht </t>
  </si>
  <si>
    <t>Gewicht der Ladung</t>
  </si>
  <si>
    <t>Gesamt- gewicht</t>
  </si>
  <si>
    <t>Bremsgewicht</t>
  </si>
  <si>
    <t>Ⓚ, Ⓛ
oder LL</t>
  </si>
  <si>
    <t>Handbrems-
gewicht</t>
  </si>
  <si>
    <t>Abgangsbahnhof</t>
  </si>
  <si>
    <t>Bestimmungsbahnhof</t>
  </si>
  <si>
    <t>Bemerkung</t>
  </si>
  <si>
    <t>5-8</t>
  </si>
  <si>
    <t xml:space="preserve">leer </t>
  </si>
  <si>
    <t>beladen</t>
  </si>
  <si>
    <t>m</t>
  </si>
  <si>
    <t>t</t>
  </si>
  <si>
    <t>wenn vom Bremsgewicht etwas abgezogen werden muss, immer ein Minuszeichen voransetzen!</t>
  </si>
  <si>
    <t>Anzahl Wagen</t>
  </si>
  <si>
    <t>Gesamt:</t>
  </si>
  <si>
    <t>Gelsen-Log, Am Stadthafen 45, 45881 Gelsenkirchen, Tel.: 0209 - 9541849</t>
  </si>
  <si>
    <t>D</t>
  </si>
  <si>
    <t>H</t>
  </si>
  <si>
    <t>2. wagentechnische Behandlung 
Stufe  3  durchgeführt</t>
  </si>
  <si>
    <t>UN.   Gef.</t>
  </si>
  <si>
    <t>Prüfung Wagennummer zu lang?</t>
  </si>
  <si>
    <t>∑</t>
  </si>
  <si>
    <t>N.Uka</t>
  </si>
  <si>
    <t xml:space="preserve">25.02.2026  -  20:43  -  N.Uka               </t>
  </si>
  <si>
    <t xml:space="preserve">                       -  N.Uka</t>
  </si>
  <si>
    <t xml:space="preserve">Schkeuditz Luftfracht </t>
  </si>
  <si>
    <t>K</t>
  </si>
  <si>
    <t>28. 02 2026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</si>
</sst>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4" formatCode="h:mm;@"/>
    <numFmt numFmtId="165" formatCode="##\ ##\ ####\ ###&quot;-&quot;#"/>
    <numFmt numFmtId="166" formatCode="00"/>
    <numFmt numFmtId="167" formatCode="0.0"/>
    <numFmt numFmtId="168" formatCode="dd/mm/yy;@"/>
    <numFmt numFmtId="169" formatCode="00.0"/>
  </numFmts>
  <fonts count="57" x14ac:knownFonts="1">
    <font>
      <sz val="10"/>
      <name val="Arial"/>
      <charset val="129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sz val="8"/>
      <name val="Arial"/>
      <family val="2"/>
    </font>
    <font>
      <u/>
      <sz val="10"/>
      <name val="Arial"/>
      <family val="2"/>
    </font>
    <font>
      <sz val="18"/>
      <name val="Arial"/>
      <family val="2"/>
    </font>
    <font>
      <sz val="10"/>
      <name val="Arial"/>
      <family val="2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z val="12"/>
      <color rgb="FF3F3F3F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b/>
      <sz val="14"/>
      <color rgb="FF030303"/>
      <name val="Arial"/>
      <family val="2"/>
    </font>
    <font>
      <b/>
      <sz val="16"/>
      <color rgb="FF030303"/>
      <name val="Arial"/>
      <family val="2"/>
    </font>
    <font>
      <sz val="11"/>
      <color rgb="FF030303"/>
      <name val="Arial"/>
      <family val="2"/>
    </font>
    <font>
      <b/>
      <sz val="11"/>
      <color rgb="FF000000"/>
      <name val="Arial"/>
      <family val="2"/>
    </font>
    <font>
      <b/>
      <sz val="11"/>
      <color rgb="FF030303"/>
      <name val="Arial"/>
      <family val="2"/>
    </font>
    <font>
      <b/>
      <sz val="11"/>
      <color rgb="FF2D2D2D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vertAlign val="subscript"/>
      <sz val="11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6"/>
      <name val="Arial"/>
      <family val="2"/>
    </font>
    <font>
      <b/>
      <sz val="28"/>
      <name val="Arial"/>
      <family val="2"/>
    </font>
    <font>
      <sz val="9.5"/>
      <name val="Arial"/>
      <family val="2"/>
    </font>
    <font>
      <sz val="14"/>
      <name val="Arial"/>
      <family val="2"/>
    </font>
    <font>
      <sz val="5"/>
      <name val="Calibri"/>
      <family val="2"/>
    </font>
    <font>
      <sz val="5"/>
      <name val="Arial"/>
      <family val="2"/>
    </font>
    <font>
      <b/>
      <sz val="14"/>
      <color theme="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 diagonalDown="1">
      <left style="thin">
        <color indexed="64"/>
      </left>
      <right/>
      <top/>
      <bottom/>
      <diagonal style="thin">
        <color indexed="64"/>
      </diagonal>
    </border>
    <border diagonalUp="1" diagonalDown="1">
      <left/>
      <right style="thin">
        <color indexed="64"/>
      </right>
      <top/>
      <bottom/>
      <diagonal style="thin">
        <color indexed="64"/>
      </diagonal>
    </border>
    <border diagonalUp="1"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8" fillId="0" borderId="0"/>
    <xf numFmtId="0" fontId="8" fillId="0" borderId="0"/>
    <xf numFmtId="44" fontId="19" fillId="0" borderId="0" applyFont="0" applyFill="0" applyBorder="0" applyAlignment="0" applyProtection="0"/>
    <xf numFmtId="0" fontId="20" fillId="5" borderId="56" applyNumberFormat="0" applyAlignment="0" applyProtection="0"/>
    <xf numFmtId="0" fontId="3" fillId="0" borderId="0"/>
    <xf numFmtId="0" fontId="2" fillId="6" borderId="0" applyNumberFormat="0" applyBorder="0" applyAlignment="0" applyProtection="0"/>
    <xf numFmtId="0" fontId="35" fillId="7" borderId="63" applyNumberFormat="0" applyFont="0" applyAlignment="0" applyProtection="0"/>
    <xf numFmtId="44" fontId="8" fillId="0" borderId="0" applyFont="0" applyFill="0" applyBorder="0" applyAlignment="0" applyProtection="0"/>
    <xf numFmtId="0" fontId="36" fillId="0" borderId="0"/>
    <xf numFmtId="0" fontId="1" fillId="0" borderId="0"/>
  </cellStyleXfs>
  <cellXfs count="709">
    <xf numFmtId="0" fontId="0" fillId="0" borderId="0" xfId="0"/>
    <xf numFmtId="0" fontId="8" fillId="0" borderId="0" xfId="0" applyFont="1"/>
    <xf numFmtId="0" fontId="4" fillId="0" borderId="9" xfId="2" applyFont="1" applyBorder="1" applyAlignment="1" applyProtection="1">
      <alignment horizontal="center" vertical="center"/>
      <protection locked="0"/>
    </xf>
    <xf numFmtId="0" fontId="0" fillId="3" borderId="2" xfId="0" applyFill="1" applyBorder="1"/>
    <xf numFmtId="0" fontId="0" fillId="3" borderId="3" xfId="0" applyFill="1" applyBorder="1"/>
    <xf numFmtId="0" fontId="7" fillId="0" borderId="4" xfId="3" applyFont="1" applyBorder="1"/>
    <xf numFmtId="0" fontId="7" fillId="0" borderId="0" xfId="3" applyFont="1"/>
    <xf numFmtId="0" fontId="0" fillId="3" borderId="0" xfId="0" applyFill="1"/>
    <xf numFmtId="0" fontId="0" fillId="3" borderId="5" xfId="0" applyFill="1" applyBorder="1"/>
    <xf numFmtId="49" fontId="6" fillId="0" borderId="0" xfId="1" applyNumberFormat="1" applyFont="1" applyAlignment="1">
      <alignment vertical="center"/>
    </xf>
    <xf numFmtId="49" fontId="6" fillId="0" borderId="0" xfId="1" applyNumberFormat="1" applyFont="1" applyAlignment="1">
      <alignment horizontal="right" vertical="center"/>
    </xf>
    <xf numFmtId="0" fontId="12" fillId="0" borderId="0" xfId="1"/>
    <xf numFmtId="49" fontId="13" fillId="0" borderId="0" xfId="1" applyNumberFormat="1" applyFont="1" applyAlignment="1">
      <alignment vertical="center"/>
    </xf>
    <xf numFmtId="1" fontId="6" fillId="0" borderId="0" xfId="1" applyNumberFormat="1" applyFont="1" applyAlignment="1">
      <alignment vertical="center"/>
    </xf>
    <xf numFmtId="49" fontId="14" fillId="0" borderId="0" xfId="1" applyNumberFormat="1" applyFont="1" applyAlignment="1">
      <alignment vertical="center"/>
    </xf>
    <xf numFmtId="49" fontId="6" fillId="0" borderId="4" xfId="1" applyNumberFormat="1" applyFont="1" applyBorder="1" applyAlignment="1">
      <alignment horizontal="center" vertical="center" wrapText="1"/>
    </xf>
    <xf numFmtId="49" fontId="6" fillId="0" borderId="0" xfId="1" applyNumberFormat="1" applyFont="1" applyAlignment="1">
      <alignment horizontal="center" vertical="center" wrapText="1"/>
    </xf>
    <xf numFmtId="49" fontId="6" fillId="0" borderId="5" xfId="1" applyNumberFormat="1" applyFont="1" applyBorder="1" applyAlignment="1">
      <alignment horizontal="center" vertical="center" wrapText="1"/>
    </xf>
    <xf numFmtId="49" fontId="6" fillId="0" borderId="2" xfId="1" applyNumberFormat="1" applyFont="1" applyBorder="1" applyAlignment="1">
      <alignment vertical="center"/>
    </xf>
    <xf numFmtId="49" fontId="6" fillId="0" borderId="3" xfId="1" applyNumberFormat="1" applyFont="1" applyBorder="1" applyAlignment="1">
      <alignment vertical="center"/>
    </xf>
    <xf numFmtId="49" fontId="6" fillId="0" borderId="8" xfId="1" applyNumberFormat="1" applyFont="1" applyBorder="1" applyAlignment="1">
      <alignment vertical="center"/>
    </xf>
    <xf numFmtId="49" fontId="6" fillId="0" borderId="11" xfId="1" applyNumberFormat="1" applyFont="1" applyBorder="1" applyAlignment="1">
      <alignment vertical="center"/>
    </xf>
    <xf numFmtId="49" fontId="6" fillId="0" borderId="1" xfId="1" applyNumberFormat="1" applyFont="1" applyBorder="1" applyAlignment="1">
      <alignment vertical="center"/>
    </xf>
    <xf numFmtId="49" fontId="6" fillId="0" borderId="4" xfId="1" applyNumberFormat="1" applyFont="1" applyBorder="1" applyAlignment="1">
      <alignment vertical="center"/>
    </xf>
    <xf numFmtId="49" fontId="6" fillId="0" borderId="5" xfId="1" applyNumberFormat="1" applyFont="1" applyBorder="1" applyAlignment="1">
      <alignment vertical="center"/>
    </xf>
    <xf numFmtId="1" fontId="14" fillId="0" borderId="0" xfId="1" applyNumberFormat="1" applyFont="1" applyAlignment="1">
      <alignment vertical="center"/>
    </xf>
    <xf numFmtId="0" fontId="8" fillId="0" borderId="0" xfId="2"/>
    <xf numFmtId="0" fontId="0" fillId="3" borderId="1" xfId="0" applyFill="1" applyBorder="1"/>
    <xf numFmtId="0" fontId="7" fillId="0" borderId="7" xfId="3" applyFont="1" applyBorder="1"/>
    <xf numFmtId="0" fontId="7" fillId="0" borderId="8" xfId="3" applyFont="1" applyBorder="1"/>
    <xf numFmtId="0" fontId="8" fillId="0" borderId="4" xfId="2" applyBorder="1" applyAlignment="1">
      <alignment horizontal="center"/>
    </xf>
    <xf numFmtId="0" fontId="8" fillId="0" borderId="5" xfId="2" applyBorder="1"/>
    <xf numFmtId="1" fontId="8" fillId="0" borderId="0" xfId="2" applyNumberFormat="1" applyAlignment="1">
      <alignment vertical="center"/>
    </xf>
    <xf numFmtId="0" fontId="8" fillId="0" borderId="0" xfId="2" applyAlignment="1">
      <alignment vertical="center"/>
    </xf>
    <xf numFmtId="0" fontId="8" fillId="0" borderId="0" xfId="2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49" fontId="5" fillId="0" borderId="0" xfId="2" applyNumberFormat="1" applyFont="1" applyAlignment="1">
      <alignment horizontal="center"/>
    </xf>
    <xf numFmtId="49" fontId="13" fillId="0" borderId="0" xfId="2" applyNumberFormat="1" applyFont="1" applyAlignment="1">
      <alignment horizontal="center" vertical="center"/>
    </xf>
    <xf numFmtId="1" fontId="8" fillId="0" borderId="5" xfId="2" applyNumberFormat="1" applyBorder="1" applyAlignment="1">
      <alignment vertical="center"/>
    </xf>
    <xf numFmtId="0" fontId="4" fillId="0" borderId="0" xfId="2" applyFont="1" applyAlignment="1">
      <alignment vertical="center"/>
    </xf>
    <xf numFmtId="0" fontId="10" fillId="0" borderId="5" xfId="2" applyFont="1" applyBorder="1"/>
    <xf numFmtId="0" fontId="10" fillId="0" borderId="0" xfId="2" applyFont="1"/>
    <xf numFmtId="0" fontId="9" fillId="0" borderId="0" xfId="2" applyFont="1" applyAlignment="1">
      <alignment horizontal="center" vertical="center"/>
    </xf>
    <xf numFmtId="0" fontId="9" fillId="0" borderId="0" xfId="2" applyFont="1" applyAlignment="1">
      <alignment vertical="center"/>
    </xf>
    <xf numFmtId="0" fontId="17" fillId="0" borderId="0" xfId="2" applyFont="1"/>
    <xf numFmtId="0" fontId="16" fillId="0" borderId="0" xfId="2" applyFont="1"/>
    <xf numFmtId="0" fontId="23" fillId="0" borderId="0" xfId="6" applyFont="1" applyAlignment="1">
      <alignment horizontal="left" vertical="center"/>
    </xf>
    <xf numFmtId="0" fontId="24" fillId="0" borderId="0" xfId="6" applyFont="1"/>
    <xf numFmtId="0" fontId="25" fillId="0" borderId="5" xfId="6" applyFont="1" applyBorder="1" applyAlignment="1">
      <alignment horizontal="right"/>
    </xf>
    <xf numFmtId="0" fontId="25" fillId="0" borderId="8" xfId="6" applyFont="1" applyBorder="1"/>
    <xf numFmtId="0" fontId="25" fillId="0" borderId="0" xfId="6" applyFont="1" applyAlignment="1">
      <alignment horizontal="center"/>
    </xf>
    <xf numFmtId="0" fontId="25" fillId="0" borderId="0" xfId="6" applyFont="1"/>
    <xf numFmtId="0" fontId="22" fillId="0" borderId="4" xfId="6" applyFont="1" applyBorder="1" applyAlignment="1">
      <alignment vertical="top"/>
    </xf>
    <xf numFmtId="0" fontId="24" fillId="0" borderId="8" xfId="6" applyFont="1" applyBorder="1"/>
    <xf numFmtId="0" fontId="24" fillId="0" borderId="7" xfId="6" applyFont="1" applyBorder="1" applyAlignment="1">
      <alignment vertical="top"/>
    </xf>
    <xf numFmtId="0" fontId="25" fillId="0" borderId="0" xfId="6" applyFont="1" applyAlignment="1">
      <alignment horizontal="center" vertical="center"/>
    </xf>
    <xf numFmtId="0" fontId="24" fillId="0" borderId="0" xfId="6" applyFont="1" applyAlignment="1">
      <alignment horizontal="center" vertical="center"/>
    </xf>
    <xf numFmtId="0" fontId="24" fillId="0" borderId="8" xfId="6" applyFont="1" applyBorder="1" applyAlignment="1">
      <alignment horizontal="center" vertical="center"/>
    </xf>
    <xf numFmtId="0" fontId="25" fillId="0" borderId="0" xfId="6" applyFont="1" applyAlignment="1">
      <alignment horizontal="right"/>
    </xf>
    <xf numFmtId="0" fontId="25" fillId="0" borderId="0" xfId="6" applyFont="1" applyAlignment="1">
      <alignment horizontal="left"/>
    </xf>
    <xf numFmtId="0" fontId="25" fillId="0" borderId="0" xfId="6" applyFont="1" applyAlignment="1">
      <alignment vertical="top"/>
    </xf>
    <xf numFmtId="0" fontId="29" fillId="0" borderId="4" xfId="6" applyFont="1" applyBorder="1" applyAlignment="1">
      <alignment vertical="center"/>
    </xf>
    <xf numFmtId="0" fontId="29" fillId="0" borderId="0" xfId="6" applyFont="1" applyAlignment="1">
      <alignment vertical="center"/>
    </xf>
    <xf numFmtId="0" fontId="29" fillId="0" borderId="0" xfId="6" applyFont="1" applyAlignment="1">
      <alignment vertical="center" wrapText="1"/>
    </xf>
    <xf numFmtId="0" fontId="29" fillId="0" borderId="7" xfId="6" applyFont="1" applyBorder="1" applyAlignment="1">
      <alignment vertical="center"/>
    </xf>
    <xf numFmtId="0" fontId="29" fillId="0" borderId="8" xfId="6" applyFont="1" applyBorder="1" applyAlignment="1">
      <alignment vertical="center"/>
    </xf>
    <xf numFmtId="0" fontId="29" fillId="0" borderId="0" xfId="6" applyFont="1" applyAlignment="1">
      <alignment horizontal="center"/>
    </xf>
    <xf numFmtId="0" fontId="24" fillId="0" borderId="5" xfId="6" applyFont="1" applyBorder="1"/>
    <xf numFmtId="0" fontId="30" fillId="0" borderId="9" xfId="6" applyFont="1" applyBorder="1" applyAlignment="1">
      <alignment horizontal="center" vertical="top"/>
    </xf>
    <xf numFmtId="0" fontId="24" fillId="0" borderId="4" xfId="6" applyFont="1" applyBorder="1"/>
    <xf numFmtId="0" fontId="23" fillId="0" borderId="0" xfId="6" applyFont="1"/>
    <xf numFmtId="0" fontId="24" fillId="0" borderId="2" xfId="6" applyFont="1" applyBorder="1"/>
    <xf numFmtId="0" fontId="29" fillId="0" borderId="8" xfId="6" applyFont="1" applyBorder="1"/>
    <xf numFmtId="0" fontId="29" fillId="0" borderId="0" xfId="6" applyFont="1"/>
    <xf numFmtId="0" fontId="24" fillId="0" borderId="25" xfId="6" applyFont="1" applyBorder="1"/>
    <xf numFmtId="0" fontId="29" fillId="0" borderId="4" xfId="6" applyFont="1" applyBorder="1" applyAlignment="1">
      <alignment horizontal="left"/>
    </xf>
    <xf numFmtId="0" fontId="29" fillId="0" borderId="4" xfId="6" applyFont="1" applyBorder="1"/>
    <xf numFmtId="0" fontId="29" fillId="0" borderId="7" xfId="6" applyFont="1" applyBorder="1"/>
    <xf numFmtId="0" fontId="26" fillId="0" borderId="11" xfId="6" applyFont="1" applyBorder="1" applyAlignment="1">
      <alignment vertical="top"/>
    </xf>
    <xf numFmtId="14" fontId="31" fillId="0" borderId="5" xfId="6" applyNumberFormat="1" applyFont="1" applyBorder="1"/>
    <xf numFmtId="0" fontId="4" fillId="0" borderId="52" xfId="0" applyFont="1" applyBorder="1"/>
    <xf numFmtId="0" fontId="4" fillId="0" borderId="55" xfId="0" applyFont="1" applyBorder="1"/>
    <xf numFmtId="0" fontId="4" fillId="0" borderId="51" xfId="0" applyFont="1" applyBorder="1"/>
    <xf numFmtId="0" fontId="9" fillId="0" borderId="5" xfId="0" applyFont="1" applyBorder="1"/>
    <xf numFmtId="0" fontId="9" fillId="0" borderId="53" xfId="0" applyFont="1" applyBorder="1"/>
    <xf numFmtId="0" fontId="9" fillId="0" borderId="0" xfId="0" applyFont="1"/>
    <xf numFmtId="0" fontId="9" fillId="0" borderId="4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5" xfId="0" applyFont="1" applyBorder="1" applyAlignment="1">
      <alignment wrapText="1"/>
    </xf>
    <xf numFmtId="0" fontId="9" fillId="0" borderId="53" xfId="0" applyFont="1" applyBorder="1" applyAlignment="1">
      <alignment wrapText="1"/>
    </xf>
    <xf numFmtId="0" fontId="9" fillId="0" borderId="49" xfId="0" applyFont="1" applyBorder="1" applyAlignment="1">
      <alignment wrapText="1"/>
    </xf>
    <xf numFmtId="0" fontId="0" fillId="0" borderId="5" xfId="0" applyBorder="1"/>
    <xf numFmtId="165" fontId="0" fillId="0" borderId="49" xfId="0" applyNumberFormat="1" applyBorder="1"/>
    <xf numFmtId="0" fontId="0" fillId="0" borderId="4" xfId="0" applyBorder="1"/>
    <xf numFmtId="0" fontId="0" fillId="0" borderId="49" xfId="0" applyBorder="1"/>
    <xf numFmtId="165" fontId="0" fillId="0" borderId="0" xfId="0" applyNumberFormat="1"/>
    <xf numFmtId="0" fontId="27" fillId="0" borderId="17" xfId="6" applyFont="1" applyBorder="1" applyAlignment="1" applyProtection="1">
      <alignment horizontal="center" vertical="center"/>
      <protection locked="0"/>
    </xf>
    <xf numFmtId="0" fontId="27" fillId="0" borderId="9" xfId="6" applyFont="1" applyBorder="1" applyAlignment="1" applyProtection="1">
      <alignment horizontal="center" vertical="center"/>
      <protection locked="0"/>
    </xf>
    <xf numFmtId="0" fontId="24" fillId="0" borderId="9" xfId="6" applyFont="1" applyBorder="1" applyAlignment="1" applyProtection="1">
      <alignment horizontal="center" vertical="center"/>
      <protection locked="0"/>
    </xf>
    <xf numFmtId="49" fontId="6" fillId="0" borderId="5" xfId="1" applyNumberFormat="1" applyFont="1" applyBorder="1" applyAlignment="1" applyProtection="1">
      <alignment vertical="center"/>
      <protection locked="0"/>
    </xf>
    <xf numFmtId="0" fontId="43" fillId="0" borderId="0" xfId="2" applyFont="1" applyAlignment="1">
      <alignment horizontal="left" vertical="top"/>
    </xf>
    <xf numFmtId="1" fontId="49" fillId="0" borderId="9" xfId="2" applyNumberFormat="1" applyFont="1" applyBorder="1" applyAlignment="1">
      <alignment horizontal="left" vertical="top" shrinkToFit="1"/>
    </xf>
    <xf numFmtId="0" fontId="50" fillId="0" borderId="0" xfId="2" applyFont="1" applyAlignment="1">
      <alignment horizontal="left" vertical="top"/>
    </xf>
    <xf numFmtId="168" fontId="40" fillId="0" borderId="0" xfId="2" applyNumberFormat="1" applyFont="1" applyAlignment="1">
      <alignment horizontal="left" vertical="center" wrapText="1" indent="1"/>
    </xf>
    <xf numFmtId="164" fontId="40" fillId="0" borderId="0" xfId="2" applyNumberFormat="1" applyFont="1" applyAlignment="1">
      <alignment horizontal="left" vertical="center" wrapText="1" indent="1"/>
    </xf>
    <xf numFmtId="168" fontId="40" fillId="0" borderId="0" xfId="2" applyNumberFormat="1" applyFont="1" applyAlignment="1">
      <alignment horizontal="left" vertical="center" wrapText="1" indent="2"/>
    </xf>
    <xf numFmtId="0" fontId="43" fillId="0" borderId="0" xfId="2" applyFont="1" applyAlignment="1">
      <alignment vertical="top" wrapText="1"/>
    </xf>
    <xf numFmtId="168" fontId="40" fillId="0" borderId="0" xfId="2" applyNumberFormat="1" applyFont="1" applyAlignment="1">
      <alignment vertical="center" wrapText="1"/>
    </xf>
    <xf numFmtId="0" fontId="43" fillId="0" borderId="0" xfId="2" applyFont="1" applyAlignment="1">
      <alignment horizontal="left" vertical="center" wrapText="1"/>
    </xf>
    <xf numFmtId="0" fontId="43" fillId="0" borderId="0" xfId="2" applyFont="1" applyAlignment="1">
      <alignment vertical="center" wrapText="1"/>
    </xf>
    <xf numFmtId="0" fontId="43" fillId="0" borderId="0" xfId="2" applyFont="1" applyAlignment="1">
      <alignment horizontal="left" wrapText="1"/>
    </xf>
    <xf numFmtId="0" fontId="43" fillId="0" borderId="0" xfId="2" applyFont="1" applyAlignment="1">
      <alignment horizontal="left" vertical="center"/>
    </xf>
    <xf numFmtId="0" fontId="43" fillId="0" borderId="0" xfId="2" applyFont="1" applyAlignment="1">
      <alignment horizontal="left"/>
    </xf>
    <xf numFmtId="0" fontId="45" fillId="0" borderId="67" xfId="2" applyFont="1" applyBorder="1" applyAlignment="1">
      <alignment horizontal="center" vertical="center"/>
    </xf>
    <xf numFmtId="0" fontId="45" fillId="0" borderId="15" xfId="2" applyFont="1" applyBorder="1" applyAlignment="1">
      <alignment horizontal="center" vertical="center"/>
    </xf>
    <xf numFmtId="0" fontId="45" fillId="0" borderId="65" xfId="2" applyFont="1" applyBorder="1" applyAlignment="1">
      <alignment horizontal="center" vertical="center"/>
    </xf>
    <xf numFmtId="0" fontId="44" fillId="0" borderId="0" xfId="2" applyFont="1" applyAlignment="1">
      <alignment horizontal="left" vertical="top"/>
    </xf>
    <xf numFmtId="0" fontId="44" fillId="0" borderId="64" xfId="2" applyFont="1" applyBorder="1" applyAlignment="1" applyProtection="1">
      <alignment horizontal="center" vertical="center"/>
      <protection locked="0"/>
    </xf>
    <xf numFmtId="0" fontId="5" fillId="0" borderId="64" xfId="2" applyFont="1" applyBorder="1" applyAlignment="1" applyProtection="1">
      <alignment horizontal="center" vertical="center"/>
      <protection locked="0"/>
    </xf>
    <xf numFmtId="0" fontId="37" fillId="0" borderId="25" xfId="2" applyFont="1" applyBorder="1" applyAlignment="1">
      <alignment horizontal="left" vertical="center"/>
    </xf>
    <xf numFmtId="0" fontId="8" fillId="0" borderId="0" xfId="1" applyFont="1"/>
    <xf numFmtId="9" fontId="8" fillId="0" borderId="9" xfId="10" applyNumberFormat="1" applyFont="1" applyBorder="1" applyAlignment="1">
      <alignment horizontal="center" vertical="center"/>
    </xf>
    <xf numFmtId="0" fontId="11" fillId="0" borderId="0" xfId="0" applyFont="1"/>
    <xf numFmtId="0" fontId="0" fillId="8" borderId="0" xfId="0" applyFill="1"/>
    <xf numFmtId="0" fontId="0" fillId="8" borderId="49" xfId="0" applyFill="1" applyBorder="1"/>
    <xf numFmtId="1" fontId="49" fillId="0" borderId="73" xfId="2" applyNumberFormat="1" applyFont="1" applyBorder="1" applyAlignment="1">
      <alignment horizontal="center" vertical="center"/>
    </xf>
    <xf numFmtId="1" fontId="49" fillId="0" borderId="69" xfId="2" applyNumberFormat="1" applyFont="1" applyBorder="1" applyAlignment="1">
      <alignment horizontal="center" vertical="center"/>
    </xf>
    <xf numFmtId="1" fontId="49" fillId="0" borderId="66" xfId="2" applyNumberFormat="1" applyFont="1" applyBorder="1" applyAlignment="1">
      <alignment horizontal="center" vertical="center"/>
    </xf>
    <xf numFmtId="1" fontId="49" fillId="0" borderId="74" xfId="2" applyNumberFormat="1" applyFont="1" applyBorder="1" applyAlignment="1">
      <alignment horizontal="center" vertical="center"/>
    </xf>
    <xf numFmtId="1" fontId="49" fillId="0" borderId="75" xfId="2" applyNumberFormat="1" applyFont="1" applyBorder="1" applyAlignment="1">
      <alignment horizontal="center" vertical="center"/>
    </xf>
    <xf numFmtId="1" fontId="49" fillId="0" borderId="76" xfId="2" applyNumberFormat="1" applyFont="1" applyBorder="1" applyAlignment="1">
      <alignment horizontal="center" vertical="center"/>
    </xf>
    <xf numFmtId="0" fontId="49" fillId="0" borderId="9" xfId="2" applyFont="1" applyBorder="1" applyAlignment="1" applyProtection="1">
      <alignment horizontal="center" vertical="center"/>
      <protection locked="0"/>
    </xf>
    <xf numFmtId="2" fontId="9" fillId="0" borderId="9" xfId="10" applyNumberFormat="1" applyFont="1" applyBorder="1" applyAlignment="1">
      <alignment horizontal="right"/>
    </xf>
    <xf numFmtId="1" fontId="9" fillId="0" borderId="9" xfId="10" applyNumberFormat="1" applyFont="1" applyBorder="1" applyAlignment="1" applyProtection="1">
      <alignment horizontal="right"/>
      <protection locked="0"/>
    </xf>
    <xf numFmtId="1" fontId="49" fillId="0" borderId="9" xfId="2" applyNumberFormat="1" applyFont="1" applyBorder="1" applyAlignment="1" applyProtection="1">
      <alignment horizontal="center" vertical="center"/>
      <protection locked="0"/>
    </xf>
    <xf numFmtId="1" fontId="49" fillId="0" borderId="9" xfId="2" applyNumberFormat="1" applyFont="1" applyBorder="1" applyAlignment="1" applyProtection="1">
      <alignment horizontal="center"/>
      <protection locked="0"/>
    </xf>
    <xf numFmtId="0" fontId="43" fillId="0" borderId="9" xfId="2" applyFont="1" applyBorder="1" applyAlignment="1">
      <alignment horizontal="left"/>
    </xf>
    <xf numFmtId="0" fontId="43" fillId="0" borderId="10" xfId="2" applyFont="1" applyBorder="1" applyAlignment="1">
      <alignment horizontal="left" vertical="top"/>
    </xf>
    <xf numFmtId="0" fontId="43" fillId="0" borderId="71" xfId="2" applyFont="1" applyBorder="1" applyAlignment="1">
      <alignment horizontal="left"/>
    </xf>
    <xf numFmtId="1" fontId="40" fillId="0" borderId="9" xfId="2" applyNumberFormat="1" applyFont="1" applyBorder="1" applyAlignment="1">
      <alignment horizontal="center" wrapText="1"/>
    </xf>
    <xf numFmtId="0" fontId="43" fillId="0" borderId="9" xfId="2" applyFont="1" applyBorder="1" applyAlignment="1">
      <alignment vertical="top"/>
    </xf>
    <xf numFmtId="0" fontId="14" fillId="0" borderId="9" xfId="2" applyFont="1" applyBorder="1" applyAlignment="1">
      <alignment horizontal="center" vertical="center"/>
    </xf>
    <xf numFmtId="0" fontId="25" fillId="0" borderId="5" xfId="6" applyFont="1" applyBorder="1" applyAlignment="1">
      <alignment vertical="center"/>
    </xf>
    <xf numFmtId="0" fontId="7" fillId="0" borderId="1" xfId="3" applyFont="1" applyBorder="1"/>
    <xf numFmtId="0" fontId="7" fillId="0" borderId="2" xfId="3" applyFont="1" applyBorder="1"/>
    <xf numFmtId="0" fontId="9" fillId="0" borderId="0" xfId="3" applyFont="1" applyAlignment="1">
      <alignment vertical="center"/>
    </xf>
    <xf numFmtId="0" fontId="7" fillId="0" borderId="5" xfId="3" applyFont="1" applyBorder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5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4" fontId="8" fillId="0" borderId="1" xfId="0" applyNumberFormat="1" applyFont="1" applyBorder="1" applyAlignment="1">
      <alignment vertical="center"/>
    </xf>
    <xf numFmtId="14" fontId="8" fillId="0" borderId="2" xfId="0" applyNumberFormat="1" applyFont="1" applyBorder="1" applyAlignment="1">
      <alignment vertical="center"/>
    </xf>
    <xf numFmtId="14" fontId="8" fillId="0" borderId="3" xfId="0" applyNumberFormat="1" applyFont="1" applyBorder="1" applyAlignment="1">
      <alignment vertical="center"/>
    </xf>
    <xf numFmtId="14" fontId="8" fillId="0" borderId="4" xfId="0" applyNumberFormat="1" applyFont="1" applyBorder="1" applyAlignment="1">
      <alignment horizontal="right" vertical="center"/>
    </xf>
    <xf numFmtId="14" fontId="9" fillId="4" borderId="6" xfId="0" applyNumberFormat="1" applyFont="1" applyFill="1" applyBorder="1" applyAlignment="1" applyProtection="1">
      <alignment vertical="center"/>
      <protection locked="0"/>
    </xf>
    <xf numFmtId="14" fontId="9" fillId="0" borderId="6" xfId="0" applyNumberFormat="1" applyFont="1" applyBorder="1" applyAlignment="1">
      <alignment vertical="center"/>
    </xf>
    <xf numFmtId="14" fontId="9" fillId="0" borderId="80" xfId="0" applyNumberFormat="1" applyFont="1" applyBorder="1" applyAlignment="1">
      <alignment vertical="center"/>
    </xf>
    <xf numFmtId="14" fontId="8" fillId="0" borderId="7" xfId="0" applyNumberFormat="1" applyFont="1" applyBorder="1" applyAlignment="1">
      <alignment horizontal="right" vertical="center"/>
    </xf>
    <xf numFmtId="14" fontId="8" fillId="0" borderId="8" xfId="0" applyNumberFormat="1" applyFont="1" applyBorder="1" applyAlignment="1">
      <alignment vertical="center"/>
    </xf>
    <xf numFmtId="14" fontId="8" fillId="0" borderId="11" xfId="0" applyNumberFormat="1" applyFont="1" applyBorder="1" applyAlignment="1">
      <alignment vertical="center"/>
    </xf>
    <xf numFmtId="1" fontId="8" fillId="0" borderId="79" xfId="0" applyNumberFormat="1" applyFont="1" applyBorder="1" applyAlignment="1">
      <alignment horizontal="center"/>
    </xf>
    <xf numFmtId="0" fontId="8" fillId="0" borderId="79" xfId="0" applyFont="1" applyBorder="1" applyAlignment="1" applyProtection="1">
      <alignment horizontal="center"/>
      <protection locked="0"/>
    </xf>
    <xf numFmtId="2" fontId="9" fillId="0" borderId="84" xfId="0" applyNumberFormat="1" applyFont="1" applyBorder="1" applyAlignment="1" applyProtection="1">
      <alignment horizontal="center"/>
      <protection locked="0"/>
    </xf>
    <xf numFmtId="2" fontId="8" fillId="0" borderId="84" xfId="0" applyNumberFormat="1" applyFont="1" applyBorder="1" applyAlignment="1" applyProtection="1">
      <alignment horizontal="right"/>
      <protection locked="0"/>
    </xf>
    <xf numFmtId="0" fontId="8" fillId="0" borderId="84" xfId="0" applyFont="1" applyBorder="1" applyAlignment="1">
      <alignment horizontal="center"/>
    </xf>
    <xf numFmtId="1" fontId="9" fillId="0" borderId="84" xfId="0" applyNumberFormat="1" applyFont="1" applyBorder="1" applyAlignment="1" applyProtection="1">
      <alignment horizontal="center" vertical="center"/>
      <protection locked="0"/>
    </xf>
    <xf numFmtId="1" fontId="8" fillId="0" borderId="84" xfId="0" applyNumberFormat="1" applyFont="1" applyBorder="1" applyAlignment="1">
      <alignment horizontal="center"/>
    </xf>
    <xf numFmtId="169" fontId="9" fillId="0" borderId="84" xfId="0" applyNumberFormat="1" applyFont="1" applyBorder="1" applyAlignment="1" applyProtection="1">
      <alignment horizontal="center"/>
      <protection locked="0"/>
    </xf>
    <xf numFmtId="0" fontId="9" fillId="0" borderId="15" xfId="0" applyFont="1" applyBorder="1" applyAlignment="1">
      <alignment horizontal="right"/>
    </xf>
    <xf numFmtId="1" fontId="8" fillId="0" borderId="15" xfId="0" applyNumberFormat="1" applyFont="1" applyBorder="1" applyAlignment="1">
      <alignment horizontal="right"/>
    </xf>
    <xf numFmtId="1" fontId="9" fillId="0" borderId="15" xfId="0" applyNumberFormat="1" applyFont="1" applyBorder="1" applyAlignment="1">
      <alignment horizontal="right"/>
    </xf>
    <xf numFmtId="0" fontId="8" fillId="3" borderId="15" xfId="0" applyFont="1" applyFill="1" applyBorder="1"/>
    <xf numFmtId="0" fontId="9" fillId="0" borderId="12" xfId="0" applyFont="1" applyBorder="1" applyAlignment="1">
      <alignment horizontal="right"/>
    </xf>
    <xf numFmtId="0" fontId="8" fillId="0" borderId="13" xfId="0" applyFont="1" applyBorder="1" applyAlignment="1">
      <alignment horizontal="center" vertical="center"/>
    </xf>
    <xf numFmtId="0" fontId="8" fillId="3" borderId="0" xfId="0" applyFont="1" applyFill="1"/>
    <xf numFmtId="0" fontId="8" fillId="0" borderId="14" xfId="0" applyFont="1" applyBorder="1" applyAlignment="1">
      <alignment horizontal="left" vertical="center" wrapText="1"/>
    </xf>
    <xf numFmtId="1" fontId="8" fillId="0" borderId="4" xfId="0" applyNumberFormat="1" applyFont="1" applyBorder="1" applyAlignment="1">
      <alignment horizontal="left"/>
    </xf>
    <xf numFmtId="1" fontId="8" fillId="0" borderId="0" xfId="0" applyNumberFormat="1" applyFont="1" applyAlignment="1">
      <alignment horizontal="left"/>
    </xf>
    <xf numFmtId="0" fontId="8" fillId="0" borderId="0" xfId="0" applyFont="1" applyAlignment="1">
      <alignment horizontal="center" vertical="center"/>
    </xf>
    <xf numFmtId="0" fontId="0" fillId="3" borderId="9" xfId="0" applyFill="1" applyBorder="1"/>
    <xf numFmtId="0" fontId="8" fillId="0" borderId="0" xfId="0" applyFont="1" applyAlignment="1">
      <alignment vertical="center"/>
    </xf>
    <xf numFmtId="9" fontId="8" fillId="0" borderId="9" xfId="0" applyNumberFormat="1" applyFont="1" applyBorder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53" fillId="0" borderId="5" xfId="0" applyFont="1" applyBorder="1"/>
    <xf numFmtId="1" fontId="8" fillId="0" borderId="4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1" fontId="8" fillId="0" borderId="7" xfId="0" applyNumberFormat="1" applyFont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8" fillId="0" borderId="84" xfId="0" applyFont="1" applyBorder="1" applyAlignment="1" applyProtection="1">
      <alignment horizontal="left"/>
      <protection locked="0"/>
    </xf>
    <xf numFmtId="0" fontId="8" fillId="0" borderId="7" xfId="0" applyFont="1" applyBorder="1" applyAlignment="1">
      <alignment horizontal="center" vertical="center" wrapText="1"/>
    </xf>
    <xf numFmtId="0" fontId="9" fillId="0" borderId="79" xfId="0" applyFont="1" applyBorder="1" applyAlignment="1" applyProtection="1">
      <alignment horizontal="center"/>
      <protection locked="0"/>
    </xf>
    <xf numFmtId="1" fontId="9" fillId="0" borderId="84" xfId="0" applyNumberFormat="1" applyFont="1" applyBorder="1" applyAlignment="1" applyProtection="1">
      <alignment horizontal="right"/>
      <protection locked="0"/>
    </xf>
    <xf numFmtId="1" fontId="9" fillId="0" borderId="84" xfId="0" applyNumberFormat="1" applyFont="1" applyBorder="1" applyAlignment="1" applyProtection="1">
      <alignment horizontal="center"/>
      <protection locked="0"/>
    </xf>
    <xf numFmtId="169" fontId="9" fillId="0" borderId="79" xfId="0" applyNumberFormat="1" applyFont="1" applyBorder="1" applyAlignment="1" applyProtection="1">
      <alignment horizontal="center"/>
      <protection locked="0"/>
    </xf>
    <xf numFmtId="0" fontId="52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1" fontId="49" fillId="0" borderId="9" xfId="2" applyNumberFormat="1" applyFont="1" applyBorder="1" applyAlignment="1">
      <alignment vertical="center"/>
    </xf>
    <xf numFmtId="0" fontId="40" fillId="0" borderId="9" xfId="2" applyFont="1" applyBorder="1" applyAlignment="1">
      <alignment horizontal="center" wrapText="1"/>
    </xf>
    <xf numFmtId="167" fontId="40" fillId="0" borderId="9" xfId="2" applyNumberFormat="1" applyFont="1" applyBorder="1" applyAlignment="1">
      <alignment horizontal="center" wrapText="1"/>
    </xf>
    <xf numFmtId="1" fontId="40" fillId="0" borderId="9" xfId="2" applyNumberFormat="1" applyFont="1" applyBorder="1" applyAlignment="1">
      <alignment horizontal="center" vertical="center"/>
    </xf>
    <xf numFmtId="1" fontId="49" fillId="0" borderId="9" xfId="2" applyNumberFormat="1" applyFont="1" applyBorder="1" applyAlignment="1">
      <alignment horizontal="center" vertical="center"/>
    </xf>
    <xf numFmtId="1" fontId="9" fillId="0" borderId="85" xfId="0" applyNumberFormat="1" applyFont="1" applyBorder="1" applyAlignment="1" applyProtection="1">
      <alignment horizontal="center" vertical="center"/>
      <protection locked="0"/>
    </xf>
    <xf numFmtId="0" fontId="49" fillId="0" borderId="10" xfId="2" applyFont="1" applyBorder="1" applyAlignment="1" applyProtection="1">
      <alignment horizontal="center" vertical="center"/>
      <protection locked="0"/>
    </xf>
    <xf numFmtId="2" fontId="9" fillId="0" borderId="10" xfId="10" applyNumberFormat="1" applyFont="1" applyBorder="1" applyAlignment="1" applyProtection="1">
      <alignment horizontal="center"/>
      <protection locked="0"/>
    </xf>
    <xf numFmtId="2" fontId="8" fillId="0" borderId="10" xfId="10" applyNumberFormat="1" applyFont="1" applyBorder="1" applyAlignment="1" applyProtection="1">
      <alignment horizontal="right"/>
      <protection locked="0"/>
    </xf>
    <xf numFmtId="2" fontId="9" fillId="0" borderId="10" xfId="10" applyNumberFormat="1" applyFont="1" applyBorder="1" applyAlignment="1">
      <alignment horizontal="right"/>
    </xf>
    <xf numFmtId="1" fontId="9" fillId="0" borderId="10" xfId="10" applyNumberFormat="1" applyFont="1" applyBorder="1" applyAlignment="1" applyProtection="1">
      <alignment horizontal="right"/>
      <protection locked="0"/>
    </xf>
    <xf numFmtId="1" fontId="49" fillId="0" borderId="10" xfId="2" applyNumberFormat="1" applyFont="1" applyBorder="1" applyAlignment="1">
      <alignment horizontal="center" vertical="center"/>
    </xf>
    <xf numFmtId="167" fontId="49" fillId="0" borderId="10" xfId="2" applyNumberFormat="1" applyFont="1" applyBorder="1" applyAlignment="1" applyProtection="1">
      <alignment horizontal="center" vertical="center"/>
      <protection locked="0"/>
    </xf>
    <xf numFmtId="1" fontId="49" fillId="0" borderId="10" xfId="2" applyNumberFormat="1" applyFont="1" applyBorder="1" applyAlignment="1">
      <alignment vertical="center"/>
    </xf>
    <xf numFmtId="0" fontId="49" fillId="0" borderId="10" xfId="2" applyFont="1" applyBorder="1" applyAlignment="1" applyProtection="1">
      <alignment vertical="center" wrapText="1"/>
      <protection locked="0"/>
    </xf>
    <xf numFmtId="49" fontId="41" fillId="0" borderId="86" xfId="2" applyNumberFormat="1" applyFont="1" applyBorder="1" applyAlignment="1">
      <alignment vertical="center"/>
    </xf>
    <xf numFmtId="49" fontId="41" fillId="0" borderId="86" xfId="2" applyNumberFormat="1" applyFont="1" applyBorder="1" applyAlignment="1">
      <alignment horizontal="center" vertical="center"/>
    </xf>
    <xf numFmtId="0" fontId="14" fillId="0" borderId="71" xfId="2" applyFont="1" applyBorder="1" applyAlignment="1">
      <alignment horizontal="center" vertical="center"/>
    </xf>
    <xf numFmtId="0" fontId="48" fillId="0" borderId="71" xfId="2" applyFont="1" applyBorder="1" applyAlignment="1">
      <alignment horizontal="center" vertical="center" wrapText="1"/>
    </xf>
    <xf numFmtId="0" fontId="9" fillId="0" borderId="49" xfId="0" applyFont="1" applyBorder="1"/>
    <xf numFmtId="0" fontId="56" fillId="0" borderId="0" xfId="0" applyFont="1" applyAlignment="1">
      <alignment horizontal="center"/>
    </xf>
    <xf numFmtId="1" fontId="49" fillId="0" borderId="87" xfId="2" applyNumberFormat="1" applyFont="1" applyBorder="1" applyAlignment="1">
      <alignment horizontal="center" vertical="center"/>
    </xf>
    <xf numFmtId="167" fontId="49" fillId="0" borderId="10" xfId="2" applyNumberFormat="1" applyFont="1" applyBorder="1" applyAlignment="1" applyProtection="1">
      <alignment horizontal="center"/>
      <protection locked="0"/>
    </xf>
    <xf numFmtId="0" fontId="24" fillId="0" borderId="16" xfId="6" applyFont="1" applyBorder="1" applyAlignment="1" applyProtection="1">
      <alignment horizontal="left" vertical="center"/>
      <protection locked="0"/>
    </xf>
    <xf numFmtId="0" fontId="24" fillId="0" borderId="23" xfId="6" applyFont="1" applyBorder="1" applyAlignment="1" applyProtection="1">
      <alignment horizontal="left" vertical="center"/>
      <protection locked="0"/>
    </xf>
    <xf numFmtId="0" fontId="24" fillId="0" borderId="17" xfId="6" applyFont="1" applyBorder="1" applyAlignment="1" applyProtection="1">
      <alignment horizontal="left" vertical="center"/>
      <protection locked="0"/>
    </xf>
    <xf numFmtId="0" fontId="24" fillId="0" borderId="16" xfId="6" applyFont="1" applyBorder="1" applyAlignment="1" applyProtection="1">
      <alignment horizontal="left"/>
      <protection locked="0"/>
    </xf>
    <xf numFmtId="0" fontId="24" fillId="0" borderId="23" xfId="6" applyFont="1" applyBorder="1" applyAlignment="1" applyProtection="1">
      <alignment horizontal="left"/>
      <protection locked="0"/>
    </xf>
    <xf numFmtId="0" fontId="24" fillId="0" borderId="17" xfId="6" applyFont="1" applyBorder="1" applyAlignment="1" applyProtection="1">
      <alignment horizontal="left"/>
      <protection locked="0"/>
    </xf>
    <xf numFmtId="0" fontId="25" fillId="0" borderId="16" xfId="6" applyFont="1" applyBorder="1" applyAlignment="1">
      <alignment horizontal="center"/>
    </xf>
    <xf numFmtId="0" fontId="25" fillId="0" borderId="23" xfId="6" applyFont="1" applyBorder="1" applyAlignment="1">
      <alignment horizontal="center"/>
    </xf>
    <xf numFmtId="0" fontId="25" fillId="0" borderId="17" xfId="6" applyFont="1" applyBorder="1" applyAlignment="1">
      <alignment horizontal="center"/>
    </xf>
    <xf numFmtId="0" fontId="24" fillId="0" borderId="1" xfId="6" applyFont="1" applyBorder="1" applyAlignment="1">
      <alignment horizontal="left" vertical="top" wrapText="1"/>
    </xf>
    <xf numFmtId="0" fontId="24" fillId="0" borderId="2" xfId="6" applyFont="1" applyBorder="1" applyAlignment="1">
      <alignment horizontal="left" vertical="top" wrapText="1"/>
    </xf>
    <xf numFmtId="0" fontId="24" fillId="0" borderId="3" xfId="6" applyFont="1" applyBorder="1" applyAlignment="1">
      <alignment horizontal="left" vertical="top" wrapText="1"/>
    </xf>
    <xf numFmtId="0" fontId="27" fillId="0" borderId="0" xfId="6" applyFont="1" applyAlignment="1" applyProtection="1">
      <alignment horizontal="center"/>
      <protection locked="0"/>
    </xf>
    <xf numFmtId="0" fontId="27" fillId="0" borderId="5" xfId="6" applyFont="1" applyBorder="1" applyAlignment="1" applyProtection="1">
      <alignment horizontal="center"/>
      <protection locked="0"/>
    </xf>
    <xf numFmtId="0" fontId="27" fillId="0" borderId="8" xfId="6" applyFont="1" applyBorder="1" applyAlignment="1" applyProtection="1">
      <alignment horizontal="center"/>
      <protection locked="0"/>
    </xf>
    <xf numFmtId="0" fontId="27" fillId="0" borderId="11" xfId="6" applyFont="1" applyBorder="1" applyAlignment="1" applyProtection="1">
      <alignment horizontal="center"/>
      <protection locked="0"/>
    </xf>
    <xf numFmtId="0" fontId="21" fillId="0" borderId="16" xfId="6" applyFont="1" applyBorder="1" applyAlignment="1">
      <alignment horizontal="left" vertical="center" wrapText="1"/>
    </xf>
    <xf numFmtId="0" fontId="21" fillId="0" borderId="23" xfId="6" applyFont="1" applyBorder="1" applyAlignment="1">
      <alignment horizontal="left" vertical="center" wrapText="1"/>
    </xf>
    <xf numFmtId="0" fontId="21" fillId="0" borderId="17" xfId="6" applyFont="1" applyBorder="1" applyAlignment="1">
      <alignment horizontal="left" vertical="center" wrapText="1"/>
    </xf>
    <xf numFmtId="0" fontId="34" fillId="0" borderId="16" xfId="5" applyFont="1" applyFill="1" applyBorder="1" applyAlignment="1" applyProtection="1">
      <alignment horizontal="left" vertical="top"/>
      <protection locked="0"/>
    </xf>
    <xf numFmtId="0" fontId="34" fillId="0" borderId="23" xfId="5" applyFont="1" applyFill="1" applyBorder="1" applyAlignment="1" applyProtection="1">
      <alignment horizontal="left" vertical="top"/>
      <protection locked="0"/>
    </xf>
    <xf numFmtId="0" fontId="34" fillId="0" borderId="17" xfId="5" applyFont="1" applyFill="1" applyBorder="1" applyAlignment="1" applyProtection="1">
      <alignment horizontal="left" vertical="top"/>
      <protection locked="0"/>
    </xf>
    <xf numFmtId="165" fontId="22" fillId="0" borderId="7" xfId="6" applyNumberFormat="1" applyFont="1" applyBorder="1" applyAlignment="1">
      <alignment horizontal="center" vertical="center"/>
    </xf>
    <xf numFmtId="165" fontId="22" fillId="0" borderId="11" xfId="6" applyNumberFormat="1" applyFont="1" applyBorder="1" applyAlignment="1">
      <alignment horizontal="center" vertical="center"/>
    </xf>
    <xf numFmtId="0" fontId="3" fillId="0" borderId="2" xfId="6" applyBorder="1" applyAlignment="1">
      <alignment horizontal="center"/>
    </xf>
    <xf numFmtId="0" fontId="3" fillId="0" borderId="3" xfId="6" applyBorder="1" applyAlignment="1">
      <alignment horizontal="center"/>
    </xf>
    <xf numFmtId="0" fontId="22" fillId="0" borderId="1" xfId="6" applyFont="1" applyBorder="1" applyAlignment="1">
      <alignment horizontal="left" vertical="center"/>
    </xf>
    <xf numFmtId="0" fontId="22" fillId="0" borderId="2" xfId="6" applyFont="1" applyBorder="1" applyAlignment="1">
      <alignment horizontal="left" vertical="center"/>
    </xf>
    <xf numFmtId="0" fontId="22" fillId="0" borderId="3" xfId="6" applyFont="1" applyBorder="1" applyAlignment="1">
      <alignment horizontal="left" vertical="center"/>
    </xf>
    <xf numFmtId="0" fontId="25" fillId="0" borderId="4" xfId="6" applyFont="1" applyBorder="1" applyAlignment="1">
      <alignment horizontal="left" vertical="center"/>
    </xf>
    <xf numFmtId="0" fontId="25" fillId="0" borderId="0" xfId="6" applyFont="1" applyAlignment="1">
      <alignment horizontal="left" vertical="center"/>
    </xf>
    <xf numFmtId="0" fontId="32" fillId="0" borderId="1" xfId="6" applyFont="1" applyBorder="1" applyAlignment="1">
      <alignment horizontal="left" vertical="center"/>
    </xf>
    <xf numFmtId="0" fontId="32" fillId="0" borderId="2" xfId="6" applyFont="1" applyBorder="1" applyAlignment="1">
      <alignment horizontal="left" vertical="center"/>
    </xf>
    <xf numFmtId="0" fontId="32" fillId="0" borderId="3" xfId="6" applyFont="1" applyBorder="1" applyAlignment="1">
      <alignment horizontal="left" vertical="center"/>
    </xf>
    <xf numFmtId="14" fontId="22" fillId="4" borderId="8" xfId="6" applyNumberFormat="1" applyFont="1" applyFill="1" applyBorder="1" applyAlignment="1" applyProtection="1">
      <alignment horizontal="center"/>
      <protection locked="0"/>
    </xf>
    <xf numFmtId="0" fontId="22" fillId="4" borderId="11" xfId="6" applyFont="1" applyFill="1" applyBorder="1" applyAlignment="1" applyProtection="1">
      <alignment horizontal="center"/>
      <protection locked="0"/>
    </xf>
    <xf numFmtId="0" fontId="26" fillId="0" borderId="2" xfId="6" applyFont="1" applyBorder="1" applyAlignment="1">
      <alignment horizontal="center" vertical="top"/>
    </xf>
    <xf numFmtId="0" fontId="26" fillId="0" borderId="3" xfId="6" applyFont="1" applyBorder="1" applyAlignment="1">
      <alignment horizontal="center" vertical="top"/>
    </xf>
    <xf numFmtId="0" fontId="26" fillId="0" borderId="16" xfId="6" applyFont="1" applyBorder="1" applyAlignment="1">
      <alignment horizontal="center" vertical="top"/>
    </xf>
    <xf numFmtId="0" fontId="26" fillId="0" borderId="23" xfId="6" applyFont="1" applyBorder="1" applyAlignment="1">
      <alignment horizontal="center" vertical="top"/>
    </xf>
    <xf numFmtId="0" fontId="22" fillId="0" borderId="7" xfId="6" applyFont="1" applyBorder="1" applyAlignment="1">
      <alignment horizontal="center"/>
    </xf>
    <xf numFmtId="0" fontId="22" fillId="0" borderId="8" xfId="6" applyFont="1" applyBorder="1" applyAlignment="1">
      <alignment horizontal="center"/>
    </xf>
    <xf numFmtId="14" fontId="22" fillId="0" borderId="8" xfId="6" applyNumberFormat="1" applyFont="1" applyBorder="1" applyAlignment="1">
      <alignment horizontal="center" vertical="center"/>
    </xf>
    <xf numFmtId="0" fontId="22" fillId="0" borderId="8" xfId="6" applyFont="1" applyBorder="1" applyAlignment="1">
      <alignment horizontal="center" vertical="center"/>
    </xf>
    <xf numFmtId="14" fontId="30" fillId="0" borderId="8" xfId="6" applyNumberFormat="1" applyFont="1" applyBorder="1" applyAlignment="1">
      <alignment horizontal="center"/>
    </xf>
    <xf numFmtId="0" fontId="22" fillId="4" borderId="8" xfId="6" applyFont="1" applyFill="1" applyBorder="1" applyAlignment="1" applyProtection="1">
      <alignment horizontal="center"/>
      <protection locked="0"/>
    </xf>
    <xf numFmtId="0" fontId="26" fillId="0" borderId="17" xfId="6" applyFont="1" applyBorder="1" applyAlignment="1">
      <alignment horizontal="center" vertical="top"/>
    </xf>
    <xf numFmtId="0" fontId="25" fillId="0" borderId="2" xfId="6" applyFont="1" applyBorder="1" applyAlignment="1">
      <alignment horizontal="center" vertical="top"/>
    </xf>
    <xf numFmtId="0" fontId="25" fillId="0" borderId="3" xfId="6" applyFont="1" applyBorder="1" applyAlignment="1">
      <alignment horizontal="center" vertical="top"/>
    </xf>
    <xf numFmtId="0" fontId="26" fillId="0" borderId="1" xfId="6" applyFont="1" applyBorder="1" applyAlignment="1">
      <alignment horizontal="center" vertical="top"/>
    </xf>
    <xf numFmtId="0" fontId="25" fillId="0" borderId="1" xfId="6" applyFont="1" applyBorder="1" applyAlignment="1">
      <alignment horizontal="left" vertical="center"/>
    </xf>
    <xf numFmtId="0" fontId="25" fillId="0" borderId="2" xfId="6" applyFont="1" applyBorder="1" applyAlignment="1">
      <alignment horizontal="left" vertical="center"/>
    </xf>
    <xf numFmtId="0" fontId="25" fillId="0" borderId="3" xfId="6" applyFont="1" applyBorder="1" applyAlignment="1">
      <alignment horizontal="left" vertical="center"/>
    </xf>
    <xf numFmtId="0" fontId="25" fillId="0" borderId="5" xfId="6" applyFont="1" applyBorder="1" applyAlignment="1">
      <alignment horizontal="left" vertical="center"/>
    </xf>
    <xf numFmtId="0" fontId="29" fillId="0" borderId="0" xfId="6" applyFont="1" applyAlignment="1">
      <alignment horizontal="left" vertical="center"/>
    </xf>
    <xf numFmtId="0" fontId="29" fillId="0" borderId="5" xfId="6" applyFont="1" applyBorder="1" applyAlignment="1">
      <alignment horizontal="left" vertical="center"/>
    </xf>
    <xf numFmtId="0" fontId="29" fillId="0" borderId="8" xfId="6" applyFont="1" applyBorder="1" applyAlignment="1">
      <alignment horizontal="left"/>
    </xf>
    <xf numFmtId="0" fontId="29" fillId="0" borderId="11" xfId="6" applyFont="1" applyBorder="1" applyAlignment="1">
      <alignment horizontal="left"/>
    </xf>
    <xf numFmtId="0" fontId="30" fillId="0" borderId="48" xfId="6" applyFont="1" applyBorder="1" applyAlignment="1">
      <alignment horizontal="center" vertical="center"/>
    </xf>
    <xf numFmtId="0" fontId="30" fillId="0" borderId="60" xfId="6" applyFont="1" applyBorder="1" applyAlignment="1">
      <alignment horizontal="center" vertical="center"/>
    </xf>
    <xf numFmtId="1" fontId="22" fillId="0" borderId="8" xfId="6" applyNumberFormat="1" applyFont="1" applyBorder="1" applyAlignment="1">
      <alignment horizontal="center"/>
    </xf>
    <xf numFmtId="0" fontId="26" fillId="0" borderId="25" xfId="6" applyFont="1" applyBorder="1" applyAlignment="1">
      <alignment horizontal="center" vertical="top"/>
    </xf>
    <xf numFmtId="0" fontId="30" fillId="0" borderId="1" xfId="6" applyFont="1" applyBorder="1" applyAlignment="1">
      <alignment horizontal="center" vertical="top"/>
    </xf>
    <xf numFmtId="0" fontId="30" fillId="0" borderId="3" xfId="6" applyFont="1" applyBorder="1" applyAlignment="1">
      <alignment horizontal="center" vertical="top"/>
    </xf>
    <xf numFmtId="0" fontId="30" fillId="0" borderId="24" xfId="6" applyFont="1" applyBorder="1" applyAlignment="1">
      <alignment horizontal="center" vertical="top"/>
    </xf>
    <xf numFmtId="0" fontId="30" fillId="0" borderId="26" xfId="6" applyFont="1" applyBorder="1" applyAlignment="1">
      <alignment horizontal="center" vertical="top"/>
    </xf>
    <xf numFmtId="0" fontId="30" fillId="0" borderId="2" xfId="6" applyFont="1" applyBorder="1" applyAlignment="1">
      <alignment horizontal="center" vertical="center"/>
    </xf>
    <xf numFmtId="0" fontId="30" fillId="0" borderId="62" xfId="6" applyFont="1" applyBorder="1" applyAlignment="1">
      <alignment horizontal="center" vertical="center"/>
    </xf>
    <xf numFmtId="0" fontId="30" fillId="0" borderId="25" xfId="6" applyFont="1" applyBorder="1" applyAlignment="1">
      <alignment horizontal="center" vertical="center"/>
    </xf>
    <xf numFmtId="0" fontId="30" fillId="0" borderId="58" xfId="6" applyFont="1" applyBorder="1" applyAlignment="1">
      <alignment horizontal="center" vertical="center"/>
    </xf>
    <xf numFmtId="0" fontId="30" fillId="0" borderId="3" xfId="6" applyFont="1" applyBorder="1" applyAlignment="1">
      <alignment horizontal="center" vertical="center"/>
    </xf>
    <xf numFmtId="0" fontId="30" fillId="0" borderId="26" xfId="6" applyFont="1" applyBorder="1" applyAlignment="1">
      <alignment horizontal="center" vertical="center"/>
    </xf>
    <xf numFmtId="0" fontId="30" fillId="0" borderId="48" xfId="6" applyFont="1" applyBorder="1" applyAlignment="1">
      <alignment horizontal="center" vertical="top"/>
    </xf>
    <xf numFmtId="0" fontId="30" fillId="0" borderId="60" xfId="6" applyFont="1" applyBorder="1" applyAlignment="1">
      <alignment horizontal="center" vertical="top"/>
    </xf>
    <xf numFmtId="0" fontId="22" fillId="4" borderId="7" xfId="6" applyFont="1" applyFill="1" applyBorder="1" applyAlignment="1">
      <alignment horizontal="center"/>
    </xf>
    <xf numFmtId="0" fontId="22" fillId="4" borderId="8" xfId="6" applyFont="1" applyFill="1" applyBorder="1" applyAlignment="1">
      <alignment horizontal="center"/>
    </xf>
    <xf numFmtId="0" fontId="26" fillId="0" borderId="26" xfId="6" applyFont="1" applyBorder="1" applyAlignment="1">
      <alignment horizontal="center" vertical="top"/>
    </xf>
    <xf numFmtId="0" fontId="21" fillId="0" borderId="4" xfId="6" applyFont="1" applyBorder="1" applyAlignment="1">
      <alignment horizontal="left"/>
    </xf>
    <xf numFmtId="0" fontId="21" fillId="0" borderId="0" xfId="6" applyFont="1" applyAlignment="1">
      <alignment horizontal="left"/>
    </xf>
    <xf numFmtId="0" fontId="27" fillId="0" borderId="27" xfId="6" applyFont="1" applyBorder="1" applyAlignment="1">
      <alignment horizontal="center" vertical="center"/>
    </xf>
    <xf numFmtId="0" fontId="25" fillId="0" borderId="28" xfId="6" applyFont="1" applyBorder="1" applyAlignment="1">
      <alignment horizontal="center" vertical="center"/>
    </xf>
    <xf numFmtId="0" fontId="25" fillId="0" borderId="61" xfId="6" applyFont="1" applyBorder="1" applyAlignment="1">
      <alignment horizontal="center" vertical="center"/>
    </xf>
    <xf numFmtId="0" fontId="27" fillId="0" borderId="8" xfId="6" applyFont="1" applyBorder="1" applyAlignment="1">
      <alignment horizontal="center" vertical="center"/>
    </xf>
    <xf numFmtId="0" fontId="25" fillId="0" borderId="8" xfId="6" applyFont="1" applyBorder="1" applyAlignment="1">
      <alignment horizontal="center" vertical="center"/>
    </xf>
    <xf numFmtId="0" fontId="25" fillId="0" borderId="11" xfId="6" applyFont="1" applyBorder="1" applyAlignment="1">
      <alignment horizontal="center" vertical="center"/>
    </xf>
    <xf numFmtId="0" fontId="30" fillId="0" borderId="1" xfId="6" applyFont="1" applyBorder="1" applyAlignment="1">
      <alignment horizontal="center" vertical="center"/>
    </xf>
    <xf numFmtId="0" fontId="30" fillId="0" borderId="24" xfId="6" applyFont="1" applyBorder="1" applyAlignment="1">
      <alignment horizontal="center" vertical="center"/>
    </xf>
    <xf numFmtId="0" fontId="24" fillId="0" borderId="9" xfId="6" applyFont="1" applyBorder="1" applyAlignment="1">
      <alignment horizontal="center"/>
    </xf>
    <xf numFmtId="0" fontId="28" fillId="0" borderId="9" xfId="6" applyFont="1" applyBorder="1" applyAlignment="1">
      <alignment horizontal="center" vertical="center"/>
    </xf>
    <xf numFmtId="0" fontId="28" fillId="0" borderId="57" xfId="6" applyFont="1" applyBorder="1" applyAlignment="1">
      <alignment horizontal="center" vertical="center"/>
    </xf>
    <xf numFmtId="0" fontId="24" fillId="0" borderId="16" xfId="6" applyFont="1" applyBorder="1" applyAlignment="1">
      <alignment horizontal="center" vertical="center"/>
    </xf>
    <xf numFmtId="0" fontId="24" fillId="0" borderId="23" xfId="6" applyFont="1" applyBorder="1" applyAlignment="1">
      <alignment horizontal="center" vertical="center"/>
    </xf>
    <xf numFmtId="0" fontId="24" fillId="0" borderId="59" xfId="6" applyFont="1" applyBorder="1" applyAlignment="1">
      <alignment horizontal="center" vertical="center"/>
    </xf>
    <xf numFmtId="0" fontId="24" fillId="0" borderId="48" xfId="6" applyFont="1" applyBorder="1" applyAlignment="1">
      <alignment horizontal="center"/>
    </xf>
    <xf numFmtId="0" fontId="22" fillId="0" borderId="12" xfId="6" applyFont="1" applyBorder="1" applyAlignment="1">
      <alignment horizontal="left" vertical="center" wrapText="1"/>
    </xf>
    <xf numFmtId="0" fontId="22" fillId="0" borderId="13" xfId="6" applyFont="1" applyBorder="1" applyAlignment="1">
      <alignment horizontal="left" vertical="center" wrapText="1"/>
    </xf>
    <xf numFmtId="0" fontId="22" fillId="0" borderId="14" xfId="6" applyFont="1" applyBorder="1" applyAlignment="1">
      <alignment horizontal="left" vertical="center" wrapText="1"/>
    </xf>
    <xf numFmtId="0" fontId="28" fillId="0" borderId="9" xfId="6" applyFont="1" applyBorder="1" applyAlignment="1">
      <alignment horizontal="center" vertical="center" wrapText="1"/>
    </xf>
    <xf numFmtId="0" fontId="24" fillId="0" borderId="4" xfId="6" applyFont="1" applyBorder="1" applyAlignment="1">
      <alignment horizontal="center"/>
    </xf>
    <xf numFmtId="0" fontId="24" fillId="0" borderId="0" xfId="6" applyFont="1" applyAlignment="1">
      <alignment horizontal="center"/>
    </xf>
    <xf numFmtId="0" fontId="24" fillId="0" borderId="24" xfId="6" applyFont="1" applyBorder="1" applyAlignment="1">
      <alignment horizontal="center"/>
    </xf>
    <xf numFmtId="0" fontId="24" fillId="0" borderId="25" xfId="6" applyFont="1" applyBorder="1" applyAlignment="1">
      <alignment horizontal="center"/>
    </xf>
    <xf numFmtId="0" fontId="24" fillId="0" borderId="0" xfId="6" applyFont="1" applyAlignment="1">
      <alignment horizontal="center" vertical="center"/>
    </xf>
    <xf numFmtId="0" fontId="29" fillId="0" borderId="4" xfId="6" applyFont="1" applyBorder="1" applyAlignment="1">
      <alignment horizontal="left" vertical="center" wrapText="1"/>
    </xf>
    <xf numFmtId="0" fontId="29" fillId="0" borderId="0" xfId="6" applyFont="1" applyAlignment="1">
      <alignment horizontal="left" vertical="center" wrapText="1"/>
    </xf>
    <xf numFmtId="0" fontId="33" fillId="0" borderId="4" xfId="6" applyFont="1" applyBorder="1" applyAlignment="1">
      <alignment horizontal="left" vertical="center" wrapText="1"/>
    </xf>
    <xf numFmtId="0" fontId="33" fillId="0" borderId="0" xfId="6" applyFont="1" applyAlignment="1">
      <alignment horizontal="left" vertical="center" wrapText="1"/>
    </xf>
    <xf numFmtId="0" fontId="24" fillId="0" borderId="17" xfId="6" applyFont="1" applyBorder="1" applyAlignment="1">
      <alignment horizontal="center" vertical="center"/>
    </xf>
    <xf numFmtId="165" fontId="22" fillId="0" borderId="8" xfId="6" applyNumberFormat="1" applyFont="1" applyBorder="1" applyAlignment="1">
      <alignment horizontal="center" vertical="center"/>
    </xf>
    <xf numFmtId="0" fontId="3" fillId="0" borderId="1" xfId="6" applyBorder="1" applyAlignment="1">
      <alignment horizontal="center"/>
    </xf>
    <xf numFmtId="0" fontId="25" fillId="0" borderId="0" xfId="6" applyFont="1" applyAlignment="1">
      <alignment horizontal="left"/>
    </xf>
    <xf numFmtId="14" fontId="23" fillId="4" borderId="8" xfId="6" applyNumberFormat="1" applyFont="1" applyFill="1" applyBorder="1" applyAlignment="1" applyProtection="1">
      <alignment horizontal="center"/>
      <protection locked="0"/>
    </xf>
    <xf numFmtId="0" fontId="23" fillId="4" borderId="8" xfId="6" applyFont="1" applyFill="1" applyBorder="1" applyAlignment="1" applyProtection="1">
      <alignment horizontal="center"/>
      <protection locked="0"/>
    </xf>
    <xf numFmtId="20" fontId="22" fillId="4" borderId="8" xfId="6" applyNumberFormat="1" applyFont="1" applyFill="1" applyBorder="1" applyAlignment="1" applyProtection="1">
      <alignment horizontal="center"/>
      <protection locked="0"/>
    </xf>
    <xf numFmtId="0" fontId="6" fillId="0" borderId="9" xfId="2" applyFont="1" applyBorder="1" applyAlignment="1">
      <alignment horizontal="left" vertical="top" wrapText="1"/>
    </xf>
    <xf numFmtId="0" fontId="43" fillId="0" borderId="78" xfId="2" applyFont="1" applyBorder="1" applyAlignment="1">
      <alignment horizontal="left" vertical="center" indent="1"/>
    </xf>
    <xf numFmtId="0" fontId="43" fillId="0" borderId="10" xfId="2" applyFont="1" applyBorder="1" applyAlignment="1">
      <alignment horizontal="left" vertical="center" indent="1"/>
    </xf>
    <xf numFmtId="0" fontId="43" fillId="0" borderId="7" xfId="2" applyFont="1" applyBorder="1" applyAlignment="1">
      <alignment horizontal="left" vertical="center" indent="1"/>
    </xf>
    <xf numFmtId="0" fontId="43" fillId="0" borderId="77" xfId="2" applyFont="1" applyBorder="1" applyAlignment="1">
      <alignment horizontal="left" vertical="center" indent="1"/>
    </xf>
    <xf numFmtId="14" fontId="9" fillId="0" borderId="36" xfId="2" applyNumberFormat="1" applyFont="1" applyBorder="1" applyAlignment="1" applyProtection="1">
      <alignment horizontal="center" vertical="center"/>
      <protection locked="0"/>
    </xf>
    <xf numFmtId="14" fontId="9" fillId="0" borderId="72" xfId="2" applyNumberFormat="1" applyFont="1" applyBorder="1" applyAlignment="1" applyProtection="1">
      <alignment horizontal="center" vertical="center"/>
      <protection locked="0"/>
    </xf>
    <xf numFmtId="14" fontId="9" fillId="0" borderId="37" xfId="2" applyNumberFormat="1" applyFont="1" applyBorder="1" applyAlignment="1" applyProtection="1">
      <alignment horizontal="center" vertical="center"/>
      <protection locked="0"/>
    </xf>
    <xf numFmtId="164" fontId="40" fillId="0" borderId="71" xfId="2" applyNumberFormat="1" applyFont="1" applyBorder="1" applyAlignment="1">
      <alignment horizontal="center" vertical="center" wrapText="1"/>
    </xf>
    <xf numFmtId="14" fontId="9" fillId="0" borderId="71" xfId="2" applyNumberFormat="1" applyFont="1" applyBorder="1" applyAlignment="1" applyProtection="1">
      <alignment horizontal="center" vertical="center"/>
      <protection locked="0"/>
    </xf>
    <xf numFmtId="0" fontId="14" fillId="0" borderId="16" xfId="2" applyFont="1" applyBorder="1" applyAlignment="1">
      <alignment horizontal="left" vertical="center" wrapText="1"/>
    </xf>
    <xf numFmtId="0" fontId="14" fillId="0" borderId="23" xfId="2" applyFont="1" applyBorder="1" applyAlignment="1">
      <alignment horizontal="left" vertical="center" wrapText="1"/>
    </xf>
    <xf numFmtId="0" fontId="14" fillId="0" borderId="17" xfId="2" applyFont="1" applyBorder="1" applyAlignment="1">
      <alignment horizontal="left" vertical="center" wrapText="1"/>
    </xf>
    <xf numFmtId="165" fontId="9" fillId="0" borderId="16" xfId="4" applyNumberFormat="1" applyFont="1" applyBorder="1" applyAlignment="1" applyProtection="1">
      <alignment horizontal="center"/>
      <protection locked="0"/>
    </xf>
    <xf numFmtId="165" fontId="9" fillId="0" borderId="23" xfId="4" applyNumberFormat="1" applyFont="1" applyBorder="1" applyAlignment="1" applyProtection="1">
      <alignment horizontal="center"/>
      <protection locked="0"/>
    </xf>
    <xf numFmtId="165" fontId="9" fillId="0" borderId="17" xfId="4" applyNumberFormat="1" applyFont="1" applyBorder="1" applyAlignment="1" applyProtection="1">
      <alignment horizontal="center"/>
      <protection locked="0"/>
    </xf>
    <xf numFmtId="0" fontId="40" fillId="0" borderId="48" xfId="2" applyFont="1" applyBorder="1" applyAlignment="1">
      <alignment horizontal="center" vertical="center" textRotation="90" wrapText="1"/>
    </xf>
    <xf numFmtId="0" fontId="40" fillId="0" borderId="60" xfId="2" applyFont="1" applyBorder="1" applyAlignment="1">
      <alignment horizontal="center" vertical="center" textRotation="90" wrapText="1"/>
    </xf>
    <xf numFmtId="0" fontId="14" fillId="0" borderId="0" xfId="2" applyFont="1" applyAlignment="1">
      <alignment horizontal="center"/>
    </xf>
    <xf numFmtId="0" fontId="40" fillId="0" borderId="9" xfId="2" applyFont="1" applyBorder="1" applyAlignment="1">
      <alignment horizontal="center" vertical="center" textRotation="90" wrapText="1"/>
    </xf>
    <xf numFmtId="0" fontId="40" fillId="0" borderId="71" xfId="2" applyFont="1" applyBorder="1" applyAlignment="1">
      <alignment horizontal="center" vertical="center" textRotation="90" wrapText="1"/>
    </xf>
    <xf numFmtId="0" fontId="14" fillId="0" borderId="9" xfId="2" applyFont="1" applyBorder="1" applyAlignment="1">
      <alignment horizontal="center" vertical="center" wrapText="1"/>
    </xf>
    <xf numFmtId="0" fontId="14" fillId="0" borderId="71" xfId="2" applyFont="1" applyBorder="1" applyAlignment="1">
      <alignment horizontal="center" vertical="center" wrapText="1"/>
    </xf>
    <xf numFmtId="0" fontId="40" fillId="0" borderId="16" xfId="2" applyFont="1" applyBorder="1" applyAlignment="1">
      <alignment horizontal="center" vertical="center" wrapText="1"/>
    </xf>
    <xf numFmtId="0" fontId="40" fillId="0" borderId="17" xfId="2" applyFont="1" applyBorder="1" applyAlignment="1">
      <alignment horizontal="center" vertical="center" wrapText="1"/>
    </xf>
    <xf numFmtId="1" fontId="9" fillId="0" borderId="36" xfId="2" applyNumberFormat="1" applyFont="1" applyBorder="1" applyAlignment="1" applyProtection="1">
      <alignment horizontal="center" vertical="center"/>
      <protection locked="0"/>
    </xf>
    <xf numFmtId="1" fontId="9" fillId="0" borderId="72" xfId="2" applyNumberFormat="1" applyFont="1" applyBorder="1" applyAlignment="1" applyProtection="1">
      <alignment horizontal="center" vertical="center"/>
      <protection locked="0"/>
    </xf>
    <xf numFmtId="1" fontId="9" fillId="0" borderId="37" xfId="2" applyNumberFormat="1" applyFont="1" applyBorder="1" applyAlignment="1" applyProtection="1">
      <alignment horizontal="center" vertical="center"/>
      <protection locked="0"/>
    </xf>
    <xf numFmtId="0" fontId="46" fillId="0" borderId="48" xfId="2" applyFont="1" applyBorder="1" applyAlignment="1">
      <alignment horizontal="center" vertical="center" textRotation="90" wrapText="1"/>
    </xf>
    <xf numFmtId="0" fontId="46" fillId="0" borderId="60" xfId="2" applyFont="1" applyBorder="1" applyAlignment="1">
      <alignment horizontal="center" vertical="center" textRotation="90" wrapText="1"/>
    </xf>
    <xf numFmtId="0" fontId="41" fillId="0" borderId="9" xfId="2" applyFont="1" applyBorder="1" applyAlignment="1">
      <alignment horizontal="center" vertical="center" wrapText="1"/>
    </xf>
    <xf numFmtId="0" fontId="14" fillId="0" borderId="71" xfId="2" applyFont="1" applyBorder="1" applyAlignment="1">
      <alignment horizontal="center" vertical="center"/>
    </xf>
    <xf numFmtId="0" fontId="14" fillId="0" borderId="9" xfId="2" applyFont="1" applyBorder="1" applyAlignment="1">
      <alignment horizontal="center" vertical="center"/>
    </xf>
    <xf numFmtId="0" fontId="37" fillId="0" borderId="0" xfId="2" applyFont="1" applyAlignment="1">
      <alignment horizontal="left" vertical="center"/>
    </xf>
    <xf numFmtId="0" fontId="40" fillId="0" borderId="0" xfId="2" applyFont="1" applyAlignment="1">
      <alignment horizontal="center"/>
    </xf>
    <xf numFmtId="0" fontId="40" fillId="0" borderId="9" xfId="2" applyFont="1" applyBorder="1" applyAlignment="1">
      <alignment horizontal="center" vertical="center"/>
    </xf>
    <xf numFmtId="0" fontId="46" fillId="0" borderId="9" xfId="2" applyFont="1" applyBorder="1" applyAlignment="1">
      <alignment horizontal="center" vertical="center" textRotation="90" wrapText="1"/>
    </xf>
    <xf numFmtId="0" fontId="46" fillId="0" borderId="71" xfId="2" applyFont="1" applyBorder="1" applyAlignment="1">
      <alignment horizontal="center" vertical="center" textRotation="90" wrapText="1"/>
    </xf>
    <xf numFmtId="0" fontId="45" fillId="0" borderId="66" xfId="2" applyFont="1" applyBorder="1" applyAlignment="1">
      <alignment horizontal="center" vertical="center"/>
    </xf>
    <xf numFmtId="0" fontId="45" fillId="0" borderId="28" xfId="2" applyFont="1" applyBorder="1" applyAlignment="1">
      <alignment horizontal="center" vertical="center"/>
    </xf>
    <xf numFmtId="0" fontId="45" fillId="0" borderId="29" xfId="2" applyFont="1" applyBorder="1" applyAlignment="1">
      <alignment horizontal="center" vertical="center"/>
    </xf>
    <xf numFmtId="0" fontId="45" fillId="0" borderId="27" xfId="2" applyFont="1" applyBorder="1" applyAlignment="1">
      <alignment horizontal="center" vertical="center"/>
    </xf>
    <xf numFmtId="0" fontId="41" fillId="0" borderId="68" xfId="2" applyFont="1" applyBorder="1" applyAlignment="1">
      <alignment horizontal="center" vertical="center" textRotation="90" wrapText="1"/>
    </xf>
    <xf numFmtId="0" fontId="41" fillId="0" borderId="70" xfId="2" applyFont="1" applyBorder="1" applyAlignment="1">
      <alignment horizontal="center" vertical="center" textRotation="90" wrapText="1"/>
    </xf>
    <xf numFmtId="0" fontId="41" fillId="0" borderId="69" xfId="2" applyFont="1" applyBorder="1" applyAlignment="1">
      <alignment horizontal="center" vertical="center"/>
    </xf>
    <xf numFmtId="0" fontId="41" fillId="0" borderId="2" xfId="2" applyFont="1" applyBorder="1" applyAlignment="1">
      <alignment horizontal="center" vertical="center"/>
    </xf>
    <xf numFmtId="0" fontId="41" fillId="0" borderId="3" xfId="2" applyFont="1" applyBorder="1" applyAlignment="1">
      <alignment horizontal="center" vertical="center"/>
    </xf>
    <xf numFmtId="1" fontId="49" fillId="0" borderId="1" xfId="2" applyNumberFormat="1" applyFont="1" applyBorder="1" applyAlignment="1">
      <alignment horizontal="center" vertical="center"/>
    </xf>
    <xf numFmtId="1" fontId="49" fillId="0" borderId="2" xfId="2" applyNumberFormat="1" applyFont="1" applyBorder="1" applyAlignment="1">
      <alignment horizontal="center" vertical="center"/>
    </xf>
    <xf numFmtId="1" fontId="49" fillId="0" borderId="3" xfId="2" applyNumberFormat="1" applyFont="1" applyBorder="1" applyAlignment="1">
      <alignment horizontal="center" vertical="center"/>
    </xf>
    <xf numFmtId="1" fontId="49" fillId="0" borderId="4" xfId="2" applyNumberFormat="1" applyFont="1" applyBorder="1" applyAlignment="1">
      <alignment horizontal="center" vertical="center"/>
    </xf>
    <xf numFmtId="1" fontId="49" fillId="0" borderId="0" xfId="2" applyNumberFormat="1" applyFont="1" applyAlignment="1">
      <alignment horizontal="center" vertical="center"/>
    </xf>
    <xf numFmtId="1" fontId="49" fillId="0" borderId="5" xfId="2" applyNumberFormat="1" applyFont="1" applyBorder="1" applyAlignment="1">
      <alignment horizontal="center" vertical="center"/>
    </xf>
    <xf numFmtId="1" fontId="49" fillId="0" borderId="7" xfId="2" applyNumberFormat="1" applyFont="1" applyBorder="1" applyAlignment="1">
      <alignment horizontal="center" vertical="center"/>
    </xf>
    <xf numFmtId="1" fontId="49" fillId="0" borderId="8" xfId="2" applyNumberFormat="1" applyFont="1" applyBorder="1" applyAlignment="1">
      <alignment horizontal="center" vertical="center"/>
    </xf>
    <xf numFmtId="1" fontId="49" fillId="0" borderId="11" xfId="2" applyNumberFormat="1" applyFont="1" applyBorder="1" applyAlignment="1">
      <alignment horizontal="center" vertical="center"/>
    </xf>
    <xf numFmtId="1" fontId="40" fillId="0" borderId="1" xfId="2" applyNumberFormat="1" applyFont="1" applyBorder="1" applyAlignment="1">
      <alignment horizontal="center" wrapText="1"/>
    </xf>
    <xf numFmtId="1" fontId="40" fillId="0" borderId="3" xfId="2" applyNumberFormat="1" applyFont="1" applyBorder="1" applyAlignment="1">
      <alignment horizontal="center" wrapText="1"/>
    </xf>
    <xf numFmtId="1" fontId="40" fillId="0" borderId="4" xfId="2" applyNumberFormat="1" applyFont="1" applyBorder="1" applyAlignment="1">
      <alignment horizontal="center" wrapText="1"/>
    </xf>
    <xf numFmtId="1" fontId="40" fillId="0" borderId="5" xfId="2" applyNumberFormat="1" applyFont="1" applyBorder="1" applyAlignment="1">
      <alignment horizontal="center" wrapText="1"/>
    </xf>
    <xf numFmtId="1" fontId="40" fillId="0" borderId="7" xfId="2" applyNumberFormat="1" applyFont="1" applyBorder="1" applyAlignment="1">
      <alignment horizontal="center" wrapText="1"/>
    </xf>
    <xf numFmtId="1" fontId="40" fillId="0" borderId="11" xfId="2" applyNumberFormat="1" applyFont="1" applyBorder="1" applyAlignment="1">
      <alignment horizontal="center" wrapText="1"/>
    </xf>
    <xf numFmtId="166" fontId="40" fillId="0" borderId="9" xfId="2" applyNumberFormat="1" applyFont="1" applyBorder="1" applyAlignment="1">
      <alignment horizontal="center" vertical="center"/>
    </xf>
    <xf numFmtId="1" fontId="9" fillId="0" borderId="9" xfId="2" applyNumberFormat="1" applyFont="1" applyBorder="1" applyAlignment="1" applyProtection="1">
      <alignment horizontal="center" vertical="center"/>
      <protection locked="0"/>
    </xf>
    <xf numFmtId="165" fontId="9" fillId="0" borderId="83" xfId="9" applyNumberFormat="1" applyFont="1" applyBorder="1" applyAlignment="1" applyProtection="1">
      <alignment horizontal="center"/>
      <protection locked="0"/>
    </xf>
    <xf numFmtId="165" fontId="9" fillId="0" borderId="38" xfId="9" applyNumberFormat="1" applyFont="1" applyBorder="1" applyAlignment="1" applyProtection="1">
      <alignment horizontal="center"/>
      <protection locked="0"/>
    </xf>
    <xf numFmtId="165" fontId="9" fillId="0" borderId="39" xfId="9" applyNumberFormat="1" applyFont="1" applyBorder="1" applyAlignment="1" applyProtection="1">
      <alignment horizontal="center"/>
      <protection locked="0"/>
    </xf>
    <xf numFmtId="0" fontId="9" fillId="0" borderId="12" xfId="0" applyFont="1" applyBorder="1" applyAlignment="1">
      <alignment horizontal="right"/>
    </xf>
    <xf numFmtId="0" fontId="9" fillId="0" borderId="13" xfId="0" applyFont="1" applyBorder="1" applyAlignment="1">
      <alignment horizontal="right"/>
    </xf>
    <xf numFmtId="0" fontId="9" fillId="0" borderId="14" xfId="0" applyFont="1" applyBorder="1" applyAlignment="1">
      <alignment horizontal="right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" fontId="9" fillId="0" borderId="16" xfId="0" applyNumberFormat="1" applyFont="1" applyBorder="1" applyAlignment="1">
      <alignment horizontal="center" vertical="center"/>
    </xf>
    <xf numFmtId="1" fontId="9" fillId="0" borderId="17" xfId="0" applyNumberFormat="1" applyFont="1" applyBorder="1" applyAlignment="1">
      <alignment horizontal="center" vertical="center"/>
    </xf>
    <xf numFmtId="1" fontId="54" fillId="0" borderId="2" xfId="0" applyNumberFormat="1" applyFont="1" applyBorder="1" applyAlignment="1">
      <alignment horizontal="left" vertical="center"/>
    </xf>
    <xf numFmtId="1" fontId="55" fillId="0" borderId="2" xfId="0" applyNumberFormat="1" applyFont="1" applyBorder="1" applyAlignment="1">
      <alignment horizontal="right" vertical="center"/>
    </xf>
    <xf numFmtId="0" fontId="8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/>
    </xf>
    <xf numFmtId="165" fontId="9" fillId="0" borderId="18" xfId="9" applyNumberFormat="1" applyFont="1" applyFill="1" applyBorder="1" applyAlignment="1" applyProtection="1">
      <alignment horizontal="center"/>
      <protection locked="0"/>
    </xf>
    <xf numFmtId="165" fontId="9" fillId="0" borderId="19" xfId="9" applyNumberFormat="1" applyFont="1" applyFill="1" applyBorder="1" applyAlignment="1" applyProtection="1">
      <alignment horizontal="center"/>
      <protection locked="0"/>
    </xf>
    <xf numFmtId="165" fontId="9" fillId="0" borderId="20" xfId="9" applyNumberFormat="1" applyFont="1" applyFill="1" applyBorder="1" applyAlignment="1" applyProtection="1">
      <alignment horizontal="center"/>
      <protection locked="0"/>
    </xf>
    <xf numFmtId="165" fontId="9" fillId="0" borderId="83" xfId="9" applyNumberFormat="1" applyFont="1" applyFill="1" applyBorder="1" applyAlignment="1" applyProtection="1">
      <alignment horizontal="center"/>
      <protection locked="0"/>
    </xf>
    <xf numFmtId="165" fontId="9" fillId="0" borderId="38" xfId="9" applyNumberFormat="1" applyFont="1" applyFill="1" applyBorder="1" applyAlignment="1" applyProtection="1">
      <alignment horizontal="center"/>
      <protection locked="0"/>
    </xf>
    <xf numFmtId="165" fontId="9" fillId="0" borderId="39" xfId="9" applyNumberFormat="1" applyFont="1" applyFill="1" applyBorder="1" applyAlignment="1" applyProtection="1">
      <alignment horizontal="center"/>
      <protection locked="0"/>
    </xf>
    <xf numFmtId="0" fontId="8" fillId="3" borderId="9" xfId="0" applyFont="1" applyFill="1" applyBorder="1" applyAlignment="1">
      <alignment horizontal="center"/>
    </xf>
    <xf numFmtId="0" fontId="8" fillId="3" borderId="48" xfId="0" applyFont="1" applyFill="1" applyBorder="1" applyAlignment="1">
      <alignment horizontal="center" vertical="center" wrapText="1"/>
    </xf>
    <xf numFmtId="0" fontId="8" fillId="3" borderId="4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textRotation="90" wrapText="1"/>
    </xf>
    <xf numFmtId="0" fontId="8" fillId="3" borderId="9" xfId="0" applyFont="1" applyFill="1" applyBorder="1" applyAlignment="1">
      <alignment horizontal="center" vertical="center" textRotation="90"/>
    </xf>
    <xf numFmtId="1" fontId="8" fillId="0" borderId="9" xfId="0" applyNumberFormat="1" applyFont="1" applyBorder="1" applyAlignment="1">
      <alignment horizontal="center" textRotation="90"/>
    </xf>
    <xf numFmtId="0" fontId="8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14" fontId="9" fillId="0" borderId="81" xfId="0" applyNumberFormat="1" applyFont="1" applyBorder="1" applyAlignment="1">
      <alignment horizontal="center" vertical="center"/>
    </xf>
    <xf numFmtId="1" fontId="9" fillId="0" borderId="82" xfId="0" applyNumberFormat="1" applyFont="1" applyBorder="1" applyAlignment="1">
      <alignment horizontal="center" vertical="center"/>
    </xf>
    <xf numFmtId="1" fontId="9" fillId="0" borderId="45" xfId="0" applyNumberFormat="1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49" fontId="9" fillId="0" borderId="81" xfId="0" applyNumberFormat="1" applyFont="1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4" fontId="9" fillId="4" borderId="79" xfId="0" applyNumberFormat="1" applyFont="1" applyFill="1" applyBorder="1" applyAlignment="1" applyProtection="1">
      <alignment horizontal="center" vertical="center"/>
      <protection locked="0"/>
    </xf>
    <xf numFmtId="1" fontId="9" fillId="4" borderId="18" xfId="0" applyNumberFormat="1" applyFont="1" applyFill="1" applyBorder="1" applyAlignment="1" applyProtection="1">
      <alignment horizontal="center" vertical="center"/>
      <protection locked="0"/>
    </xf>
    <xf numFmtId="1" fontId="9" fillId="4" borderId="19" xfId="0" applyNumberFormat="1" applyFont="1" applyFill="1" applyBorder="1" applyAlignment="1" applyProtection="1">
      <alignment horizontal="center" vertical="center"/>
      <protection locked="0"/>
    </xf>
    <xf numFmtId="0" fontId="0" fillId="4" borderId="20" xfId="0" applyFill="1" applyBorder="1" applyAlignment="1" applyProtection="1">
      <alignment horizontal="center" vertical="center"/>
      <protection locked="0"/>
    </xf>
    <xf numFmtId="1" fontId="9" fillId="4" borderId="79" xfId="0" applyNumberFormat="1" applyFont="1" applyFill="1" applyBorder="1" applyAlignment="1" applyProtection="1">
      <alignment horizontal="center" vertical="center"/>
      <protection locked="0"/>
    </xf>
    <xf numFmtId="0" fontId="9" fillId="4" borderId="79" xfId="0" applyFont="1" applyFill="1" applyBorder="1" applyAlignment="1" applyProtection="1">
      <alignment horizontal="center" vertical="center"/>
      <protection locked="0"/>
    </xf>
    <xf numFmtId="0" fontId="7" fillId="0" borderId="9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49" fontId="13" fillId="0" borderId="0" xfId="1" applyNumberFormat="1" applyFont="1" applyAlignment="1">
      <alignment horizontal="left" vertical="center"/>
    </xf>
    <xf numFmtId="49" fontId="6" fillId="0" borderId="0" xfId="1" applyNumberFormat="1" applyFont="1" applyAlignment="1">
      <alignment horizontal="right" vertical="center"/>
    </xf>
    <xf numFmtId="1" fontId="6" fillId="9" borderId="63" xfId="8" applyNumberFormat="1" applyFont="1" applyFill="1" applyAlignment="1" applyProtection="1">
      <alignment horizontal="center" vertical="center"/>
      <protection locked="0"/>
    </xf>
    <xf numFmtId="14" fontId="6" fillId="9" borderId="63" xfId="8" applyNumberFormat="1" applyFont="1" applyFill="1" applyAlignment="1" applyProtection="1">
      <alignment horizontal="center" vertical="center"/>
    </xf>
    <xf numFmtId="1" fontId="6" fillId="9" borderId="63" xfId="8" applyNumberFormat="1" applyFont="1" applyFill="1" applyAlignment="1" applyProtection="1">
      <alignment horizontal="center" vertical="center"/>
    </xf>
    <xf numFmtId="49" fontId="6" fillId="0" borderId="16" xfId="1" applyNumberFormat="1" applyFont="1" applyBorder="1" applyAlignment="1">
      <alignment horizontal="center" vertical="center"/>
    </xf>
    <xf numFmtId="49" fontId="6" fillId="0" borderId="23" xfId="1" applyNumberFormat="1" applyFont="1" applyBorder="1" applyAlignment="1">
      <alignment horizontal="center" vertical="center"/>
    </xf>
    <xf numFmtId="49" fontId="6" fillId="0" borderId="17" xfId="1" applyNumberFormat="1" applyFont="1" applyBorder="1" applyAlignment="1">
      <alignment horizontal="center" vertical="center"/>
    </xf>
    <xf numFmtId="49" fontId="6" fillId="0" borderId="9" xfId="1" applyNumberFormat="1" applyFont="1" applyBorder="1" applyAlignment="1">
      <alignment horizontal="center" vertical="center"/>
    </xf>
    <xf numFmtId="1" fontId="6" fillId="0" borderId="22" xfId="1" applyNumberFormat="1" applyFont="1" applyBorder="1" applyAlignment="1" applyProtection="1">
      <alignment horizontal="center" vertical="center"/>
      <protection locked="0"/>
    </xf>
    <xf numFmtId="14" fontId="6" fillId="0" borderId="21" xfId="1" applyNumberFormat="1" applyFont="1" applyBorder="1" applyAlignment="1" applyProtection="1">
      <alignment horizontal="center" vertical="center"/>
      <protection locked="0"/>
    </xf>
    <xf numFmtId="49" fontId="14" fillId="0" borderId="21" xfId="1" applyNumberFormat="1" applyFont="1" applyBorder="1" applyAlignment="1" applyProtection="1">
      <alignment horizontal="center" vertical="center"/>
      <protection locked="0"/>
    </xf>
    <xf numFmtId="14" fontId="6" fillId="0" borderId="22" xfId="1" applyNumberFormat="1" applyFont="1" applyBorder="1" applyAlignment="1" applyProtection="1">
      <alignment horizontal="center" vertical="center"/>
      <protection locked="0"/>
    </xf>
    <xf numFmtId="49" fontId="14" fillId="0" borderId="22" xfId="1" applyNumberFormat="1" applyFont="1" applyBorder="1" applyAlignment="1" applyProtection="1">
      <alignment horizontal="center" vertical="center"/>
      <protection locked="0"/>
    </xf>
    <xf numFmtId="49" fontId="5" fillId="0" borderId="12" xfId="1" applyNumberFormat="1" applyFont="1" applyBorder="1" applyAlignment="1">
      <alignment horizontal="left" vertical="center"/>
    </xf>
    <xf numFmtId="49" fontId="5" fillId="0" borderId="13" xfId="1" applyNumberFormat="1" applyFont="1" applyBorder="1" applyAlignment="1">
      <alignment horizontal="left" vertical="center"/>
    </xf>
    <xf numFmtId="49" fontId="5" fillId="0" borderId="14" xfId="1" applyNumberFormat="1" applyFont="1" applyBorder="1" applyAlignment="1">
      <alignment horizontal="left" vertical="center"/>
    </xf>
    <xf numFmtId="49" fontId="6" fillId="0" borderId="7" xfId="1" applyNumberFormat="1" applyFont="1" applyBorder="1" applyAlignment="1">
      <alignment horizontal="center" vertical="center"/>
    </xf>
    <xf numFmtId="49" fontId="6" fillId="0" borderId="11" xfId="1" applyNumberFormat="1" applyFont="1" applyBorder="1" applyAlignment="1">
      <alignment horizontal="center" vertical="center"/>
    </xf>
    <xf numFmtId="49" fontId="6" fillId="0" borderId="27" xfId="1" applyNumberFormat="1" applyFont="1" applyBorder="1" applyAlignment="1">
      <alignment horizontal="left" vertical="center"/>
    </xf>
    <xf numFmtId="49" fontId="6" fillId="0" borderId="28" xfId="1" applyNumberFormat="1" applyFont="1" applyBorder="1" applyAlignment="1">
      <alignment horizontal="left" vertical="center"/>
    </xf>
    <xf numFmtId="49" fontId="6" fillId="0" borderId="29" xfId="1" applyNumberFormat="1" applyFont="1" applyBorder="1" applyAlignment="1">
      <alignment horizontal="left" vertical="center"/>
    </xf>
    <xf numFmtId="1" fontId="6" fillId="0" borderId="7" xfId="1" applyNumberFormat="1" applyFont="1" applyBorder="1" applyAlignment="1">
      <alignment horizontal="center" vertical="center"/>
    </xf>
    <xf numFmtId="1" fontId="6" fillId="0" borderId="11" xfId="1" applyNumberFormat="1" applyFont="1" applyBorder="1" applyAlignment="1">
      <alignment horizontal="center" vertical="center"/>
    </xf>
    <xf numFmtId="1" fontId="6" fillId="4" borderId="7" xfId="1" applyNumberFormat="1" applyFont="1" applyFill="1" applyBorder="1" applyAlignment="1" applyProtection="1">
      <alignment horizontal="center" vertical="center"/>
      <protection locked="0"/>
    </xf>
    <xf numFmtId="1" fontId="6" fillId="4" borderId="11" xfId="1" applyNumberFormat="1" applyFont="1" applyFill="1" applyBorder="1" applyAlignment="1" applyProtection="1">
      <alignment horizontal="center" vertical="center"/>
      <protection locked="0"/>
    </xf>
    <xf numFmtId="49" fontId="6" fillId="0" borderId="1" xfId="1" applyNumberFormat="1" applyFont="1" applyBorder="1" applyAlignment="1">
      <alignment horizontal="center" vertical="center"/>
    </xf>
    <xf numFmtId="49" fontId="6" fillId="0" borderId="2" xfId="1" applyNumberFormat="1" applyFont="1" applyBorder="1" applyAlignment="1">
      <alignment horizontal="center" vertical="center"/>
    </xf>
    <xf numFmtId="49" fontId="6" fillId="0" borderId="3" xfId="1" applyNumberFormat="1" applyFont="1" applyBorder="1" applyAlignment="1">
      <alignment horizontal="center" vertical="center"/>
    </xf>
    <xf numFmtId="49" fontId="6" fillId="0" borderId="24" xfId="1" applyNumberFormat="1" applyFont="1" applyBorder="1" applyAlignment="1">
      <alignment horizontal="center" vertical="center"/>
    </xf>
    <xf numFmtId="49" fontId="6" fillId="0" borderId="25" xfId="1" applyNumberFormat="1" applyFont="1" applyBorder="1" applyAlignment="1">
      <alignment horizontal="center" vertical="center"/>
    </xf>
    <xf numFmtId="49" fontId="6" fillId="0" borderId="26" xfId="1" applyNumberFormat="1" applyFont="1" applyBorder="1" applyAlignment="1">
      <alignment horizontal="center" vertical="center"/>
    </xf>
    <xf numFmtId="49" fontId="6" fillId="0" borderId="1" xfId="1" applyNumberFormat="1" applyFont="1" applyBorder="1" applyAlignment="1">
      <alignment horizontal="center"/>
    </xf>
    <xf numFmtId="49" fontId="6" fillId="0" borderId="3" xfId="1" applyNumberFormat="1" applyFont="1" applyBorder="1" applyAlignment="1">
      <alignment horizontal="center"/>
    </xf>
    <xf numFmtId="49" fontId="6" fillId="0" borderId="24" xfId="1" applyNumberFormat="1" applyFont="1" applyBorder="1" applyAlignment="1">
      <alignment horizontal="center"/>
    </xf>
    <xf numFmtId="49" fontId="6" fillId="0" borderId="26" xfId="1" applyNumberFormat="1" applyFont="1" applyBorder="1" applyAlignment="1">
      <alignment horizontal="center"/>
    </xf>
    <xf numFmtId="49" fontId="6" fillId="0" borderId="2" xfId="1" applyNumberFormat="1" applyFont="1" applyBorder="1" applyAlignment="1">
      <alignment horizontal="center"/>
    </xf>
    <xf numFmtId="49" fontId="6" fillId="0" borderId="25" xfId="1" applyNumberFormat="1" applyFont="1" applyBorder="1" applyAlignment="1">
      <alignment horizontal="center"/>
    </xf>
    <xf numFmtId="49" fontId="7" fillId="0" borderId="1" xfId="1" applyNumberFormat="1" applyFont="1" applyBorder="1" applyAlignment="1">
      <alignment horizontal="center" vertical="center"/>
    </xf>
    <xf numFmtId="49" fontId="7" fillId="0" borderId="3" xfId="1" applyNumberFormat="1" applyFont="1" applyBorder="1" applyAlignment="1">
      <alignment horizontal="center" vertical="center"/>
    </xf>
    <xf numFmtId="49" fontId="7" fillId="0" borderId="24" xfId="1" applyNumberFormat="1" applyFont="1" applyBorder="1" applyAlignment="1">
      <alignment horizontal="center" vertical="center"/>
    </xf>
    <xf numFmtId="49" fontId="7" fillId="0" borderId="26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5" fillId="0" borderId="5" xfId="1" applyNumberFormat="1" applyFont="1" applyBorder="1" applyAlignment="1">
      <alignment horizontal="left" vertical="center"/>
    </xf>
    <xf numFmtId="49" fontId="6" fillId="0" borderId="16" xfId="1" applyNumberFormat="1" applyFont="1" applyBorder="1" applyAlignment="1">
      <alignment horizontal="left" vertical="center"/>
    </xf>
    <xf numFmtId="49" fontId="6" fillId="0" borderId="23" xfId="1" applyNumberFormat="1" applyFont="1" applyBorder="1" applyAlignment="1">
      <alignment horizontal="left" vertical="center"/>
    </xf>
    <xf numFmtId="49" fontId="6" fillId="0" borderId="17" xfId="1" applyNumberFormat="1" applyFont="1" applyBorder="1" applyAlignment="1">
      <alignment horizontal="left" vertical="center"/>
    </xf>
    <xf numFmtId="1" fontId="6" fillId="0" borderId="16" xfId="1" applyNumberFormat="1" applyFont="1" applyBorder="1" applyAlignment="1">
      <alignment horizontal="center" vertical="center"/>
    </xf>
    <xf numFmtId="1" fontId="6" fillId="0" borderId="17" xfId="1" applyNumberFormat="1" applyFont="1" applyBorder="1" applyAlignment="1">
      <alignment horizontal="center" vertical="center"/>
    </xf>
    <xf numFmtId="1" fontId="6" fillId="4" borderId="1" xfId="1" applyNumberFormat="1" applyFont="1" applyFill="1" applyBorder="1" applyAlignment="1" applyProtection="1">
      <alignment horizontal="center" vertical="center"/>
      <protection locked="0"/>
    </xf>
    <xf numFmtId="1" fontId="6" fillId="4" borderId="3" xfId="1" applyNumberFormat="1" applyFont="1" applyFill="1" applyBorder="1" applyAlignment="1" applyProtection="1">
      <alignment horizontal="center" vertical="center"/>
      <protection locked="0"/>
    </xf>
    <xf numFmtId="49" fontId="6" fillId="0" borderId="7" xfId="1" applyNumberFormat="1" applyFont="1" applyBorder="1" applyAlignment="1">
      <alignment horizontal="left" vertical="center"/>
    </xf>
    <xf numFmtId="49" fontId="6" fillId="0" borderId="8" xfId="1" applyNumberFormat="1" applyFont="1" applyBorder="1" applyAlignment="1">
      <alignment horizontal="left" vertical="center"/>
    </xf>
    <xf numFmtId="49" fontId="6" fillId="0" borderId="23" xfId="1" applyNumberFormat="1" applyFont="1" applyBorder="1" applyAlignment="1">
      <alignment horizontal="left" vertical="top"/>
    </xf>
    <xf numFmtId="49" fontId="6" fillId="0" borderId="17" xfId="1" applyNumberFormat="1" applyFont="1" applyBorder="1" applyAlignment="1">
      <alignment horizontal="left" vertical="top"/>
    </xf>
    <xf numFmtId="1" fontId="6" fillId="4" borderId="16" xfId="1" applyNumberFormat="1" applyFont="1" applyFill="1" applyBorder="1" applyAlignment="1" applyProtection="1">
      <alignment horizontal="center" vertical="center"/>
      <protection locked="0"/>
    </xf>
    <xf numFmtId="1" fontId="6" fillId="4" borderId="17" xfId="1" applyNumberFormat="1" applyFont="1" applyFill="1" applyBorder="1" applyAlignment="1" applyProtection="1">
      <alignment horizontal="center" vertical="center"/>
      <protection locked="0"/>
    </xf>
    <xf numFmtId="49" fontId="6" fillId="0" borderId="30" xfId="1" applyNumberFormat="1" applyFont="1" applyBorder="1" applyAlignment="1">
      <alignment horizontal="center" vertical="center"/>
    </xf>
    <xf numFmtId="49" fontId="6" fillId="0" borderId="31" xfId="1" applyNumberFormat="1" applyFont="1" applyBorder="1" applyAlignment="1">
      <alignment horizontal="center" vertical="center"/>
    </xf>
    <xf numFmtId="49" fontId="6" fillId="0" borderId="32" xfId="1" applyNumberFormat="1" applyFont="1" applyBorder="1" applyAlignment="1">
      <alignment horizontal="center" vertical="center"/>
    </xf>
    <xf numFmtId="49" fontId="6" fillId="0" borderId="33" xfId="1" applyNumberFormat="1" applyFont="1" applyBorder="1" applyAlignment="1">
      <alignment horizontal="center" vertical="center"/>
    </xf>
    <xf numFmtId="49" fontId="6" fillId="0" borderId="34" xfId="1" applyNumberFormat="1" applyFont="1" applyBorder="1" applyAlignment="1">
      <alignment horizontal="center" vertical="center"/>
    </xf>
    <xf numFmtId="49" fontId="6" fillId="0" borderId="35" xfId="1" applyNumberFormat="1" applyFont="1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/>
    </xf>
    <xf numFmtId="49" fontId="6" fillId="0" borderId="0" xfId="1" applyNumberFormat="1" applyFont="1" applyAlignment="1">
      <alignment horizontal="center" vertical="center"/>
    </xf>
    <xf numFmtId="49" fontId="6" fillId="0" borderId="5" xfId="1" applyNumberFormat="1" applyFont="1" applyBorder="1" applyAlignment="1">
      <alignment horizontal="center" vertical="center"/>
    </xf>
    <xf numFmtId="49" fontId="6" fillId="0" borderId="1" xfId="1" applyNumberFormat="1" applyFont="1" applyBorder="1" applyAlignment="1">
      <alignment horizontal="center" vertical="top"/>
    </xf>
    <xf numFmtId="49" fontId="6" fillId="0" borderId="3" xfId="1" applyNumberFormat="1" applyFont="1" applyBorder="1" applyAlignment="1">
      <alignment horizontal="center" vertical="top"/>
    </xf>
    <xf numFmtId="49" fontId="6" fillId="0" borderId="7" xfId="1" applyNumberFormat="1" applyFont="1" applyBorder="1" applyAlignment="1">
      <alignment horizontal="center" vertical="top"/>
    </xf>
    <xf numFmtId="49" fontId="6" fillId="0" borderId="11" xfId="1" applyNumberFormat="1" applyFont="1" applyBorder="1" applyAlignment="1">
      <alignment horizontal="center" vertical="top"/>
    </xf>
    <xf numFmtId="49" fontId="6" fillId="0" borderId="1" xfId="1" applyNumberFormat="1" applyFont="1" applyBorder="1" applyAlignment="1">
      <alignment horizontal="left" vertical="center"/>
    </xf>
    <xf numFmtId="49" fontId="6" fillId="0" borderId="2" xfId="1" applyNumberFormat="1" applyFont="1" applyBorder="1" applyAlignment="1">
      <alignment horizontal="left" vertical="center"/>
    </xf>
    <xf numFmtId="49" fontId="6" fillId="0" borderId="23" xfId="1" applyNumberFormat="1" applyFont="1" applyBorder="1" applyAlignment="1">
      <alignment horizontal="left"/>
    </xf>
    <xf numFmtId="49" fontId="6" fillId="0" borderId="17" xfId="1" applyNumberFormat="1" applyFont="1" applyBorder="1" applyAlignment="1">
      <alignment horizontal="left"/>
    </xf>
    <xf numFmtId="1" fontId="6" fillId="0" borderId="23" xfId="1" applyNumberFormat="1" applyFont="1" applyBorder="1" applyAlignment="1">
      <alignment horizontal="center" vertical="center"/>
    </xf>
    <xf numFmtId="49" fontId="6" fillId="0" borderId="11" xfId="1" applyNumberFormat="1" applyFont="1" applyBorder="1" applyAlignment="1">
      <alignment horizontal="left" vertical="center"/>
    </xf>
    <xf numFmtId="1" fontId="6" fillId="0" borderId="16" xfId="1" applyNumberFormat="1" applyFont="1" applyBorder="1" applyAlignment="1">
      <alignment horizontal="center" vertical="center" wrapText="1"/>
    </xf>
    <xf numFmtId="1" fontId="6" fillId="0" borderId="17" xfId="1" applyNumberFormat="1" applyFont="1" applyBorder="1" applyAlignment="1">
      <alignment horizontal="center" vertical="center" wrapText="1"/>
    </xf>
    <xf numFmtId="49" fontId="6" fillId="0" borderId="23" xfId="1" applyNumberFormat="1" applyFont="1" applyBorder="1" applyAlignment="1">
      <alignment horizontal="center"/>
    </xf>
    <xf numFmtId="49" fontId="6" fillId="0" borderId="23" xfId="1" applyNumberFormat="1" applyFont="1" applyBorder="1" applyAlignment="1">
      <alignment horizontal="center" vertical="top"/>
    </xf>
    <xf numFmtId="49" fontId="6" fillId="0" borderId="24" xfId="1" applyNumberFormat="1" applyFont="1" applyBorder="1" applyAlignment="1">
      <alignment horizontal="left" vertical="center"/>
    </xf>
    <xf numFmtId="49" fontId="6" fillId="0" borderId="25" xfId="1" applyNumberFormat="1" applyFont="1" applyBorder="1" applyAlignment="1">
      <alignment horizontal="left" vertical="center"/>
    </xf>
    <xf numFmtId="49" fontId="6" fillId="0" borderId="26" xfId="1" applyNumberFormat="1" applyFont="1" applyBorder="1" applyAlignment="1">
      <alignment horizontal="left" vertical="center"/>
    </xf>
    <xf numFmtId="49" fontId="6" fillId="0" borderId="24" xfId="1" applyNumberFormat="1" applyFont="1" applyBorder="1" applyAlignment="1" applyProtection="1">
      <alignment horizontal="right" vertical="center"/>
      <protection locked="0"/>
    </xf>
    <xf numFmtId="49" fontId="6" fillId="0" borderId="26" xfId="1" applyNumberFormat="1" applyFont="1" applyBorder="1" applyAlignment="1" applyProtection="1">
      <alignment horizontal="right" vertical="center"/>
      <protection locked="0"/>
    </xf>
    <xf numFmtId="49" fontId="6" fillId="0" borderId="12" xfId="1" applyNumberFormat="1" applyFont="1" applyBorder="1" applyAlignment="1">
      <alignment horizontal="center" vertical="top"/>
    </xf>
    <xf numFmtId="49" fontId="6" fillId="0" borderId="14" xfId="1" applyNumberFormat="1" applyFont="1" applyBorder="1" applyAlignment="1">
      <alignment horizontal="center" vertical="top"/>
    </xf>
    <xf numFmtId="49" fontId="6" fillId="0" borderId="12" xfId="1" applyNumberFormat="1" applyFont="1" applyBorder="1" applyAlignment="1">
      <alignment horizontal="left" vertical="center"/>
    </xf>
    <xf numFmtId="49" fontId="6" fillId="0" borderId="13" xfId="1" applyNumberFormat="1" applyFont="1" applyBorder="1" applyAlignment="1">
      <alignment horizontal="left" vertical="center"/>
    </xf>
    <xf numFmtId="49" fontId="6" fillId="0" borderId="14" xfId="1" applyNumberFormat="1" applyFont="1" applyBorder="1" applyAlignment="1">
      <alignment horizontal="left" vertical="center"/>
    </xf>
    <xf numFmtId="49" fontId="6" fillId="0" borderId="4" xfId="1" applyNumberFormat="1" applyFont="1" applyBorder="1" applyAlignment="1">
      <alignment horizontal="center" vertical="top"/>
    </xf>
    <xf numFmtId="49" fontId="6" fillId="0" borderId="5" xfId="1" applyNumberFormat="1" applyFont="1" applyBorder="1" applyAlignment="1">
      <alignment horizontal="center" vertical="top"/>
    </xf>
    <xf numFmtId="49" fontId="6" fillId="0" borderId="24" xfId="1" applyNumberFormat="1" applyFont="1" applyBorder="1" applyAlignment="1">
      <alignment horizontal="center" vertical="top"/>
    </xf>
    <xf numFmtId="49" fontId="6" fillId="0" borderId="26" xfId="1" applyNumberFormat="1" applyFont="1" applyBorder="1" applyAlignment="1">
      <alignment horizontal="center" vertical="top"/>
    </xf>
    <xf numFmtId="49" fontId="6" fillId="0" borderId="3" xfId="1" applyNumberFormat="1" applyFont="1" applyBorder="1" applyAlignment="1">
      <alignment horizontal="left" vertical="center"/>
    </xf>
    <xf numFmtId="49" fontId="6" fillId="0" borderId="4" xfId="1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6" fillId="0" borderId="5" xfId="1" applyNumberFormat="1" applyFont="1" applyBorder="1" applyAlignment="1">
      <alignment horizontal="left" vertical="center"/>
    </xf>
    <xf numFmtId="49" fontId="10" fillId="0" borderId="16" xfId="1" applyNumberFormat="1" applyFont="1" applyBorder="1" applyAlignment="1">
      <alignment horizontal="left" vertical="center"/>
    </xf>
    <xf numFmtId="49" fontId="10" fillId="0" borderId="23" xfId="1" applyNumberFormat="1" applyFont="1" applyBorder="1" applyAlignment="1">
      <alignment horizontal="left" vertical="center"/>
    </xf>
    <xf numFmtId="49" fontId="10" fillId="0" borderId="17" xfId="1" applyNumberFormat="1" applyFont="1" applyBorder="1" applyAlignment="1">
      <alignment horizontal="left" vertical="center"/>
    </xf>
    <xf numFmtId="49" fontId="6" fillId="0" borderId="4" xfId="1" applyNumberFormat="1" applyFont="1" applyBorder="1" applyAlignment="1">
      <alignment horizontal="left" vertical="center" wrapText="1"/>
    </xf>
    <xf numFmtId="49" fontId="6" fillId="0" borderId="0" xfId="1" applyNumberFormat="1" applyFont="1" applyAlignment="1">
      <alignment horizontal="left" vertical="center" wrapText="1"/>
    </xf>
    <xf numFmtId="49" fontId="6" fillId="0" borderId="5" xfId="1" applyNumberFormat="1" applyFont="1" applyBorder="1" applyAlignment="1">
      <alignment horizontal="left" vertical="center" wrapText="1"/>
    </xf>
    <xf numFmtId="49" fontId="6" fillId="0" borderId="7" xfId="1" applyNumberFormat="1" applyFont="1" applyBorder="1" applyAlignment="1">
      <alignment horizontal="left" vertical="center" wrapText="1"/>
    </xf>
    <xf numFmtId="49" fontId="6" fillId="0" borderId="8" xfId="1" applyNumberFormat="1" applyFont="1" applyBorder="1" applyAlignment="1">
      <alignment horizontal="left" vertical="center" wrapText="1"/>
    </xf>
    <xf numFmtId="49" fontId="6" fillId="0" borderId="11" xfId="1" applyNumberFormat="1" applyFont="1" applyBorder="1" applyAlignment="1">
      <alignment horizontal="left" vertical="center" wrapText="1"/>
    </xf>
    <xf numFmtId="49" fontId="16" fillId="0" borderId="7" xfId="1" applyNumberFormat="1" applyFont="1" applyBorder="1" applyAlignment="1">
      <alignment horizontal="left" vertical="center"/>
    </xf>
    <xf numFmtId="49" fontId="14" fillId="0" borderId="8" xfId="1" applyNumberFormat="1" applyFont="1" applyBorder="1" applyAlignment="1">
      <alignment horizontal="left" vertical="center"/>
    </xf>
    <xf numFmtId="49" fontId="14" fillId="0" borderId="11" xfId="1" applyNumberFormat="1" applyFont="1" applyBorder="1" applyAlignment="1">
      <alignment horizontal="left" vertical="center"/>
    </xf>
    <xf numFmtId="49" fontId="10" fillId="0" borderId="24" xfId="1" applyNumberFormat="1" applyFont="1" applyBorder="1" applyAlignment="1">
      <alignment horizontal="left" vertical="center"/>
    </xf>
    <xf numFmtId="49" fontId="6" fillId="0" borderId="36" xfId="1" applyNumberFormat="1" applyFont="1" applyBorder="1" applyAlignment="1">
      <alignment horizontal="center" vertical="center"/>
    </xf>
    <xf numFmtId="49" fontId="6" fillId="0" borderId="37" xfId="1" applyNumberFormat="1" applyFont="1" applyBorder="1" applyAlignment="1">
      <alignment horizontal="center" vertical="center"/>
    </xf>
    <xf numFmtId="49" fontId="14" fillId="0" borderId="27" xfId="1" applyNumberFormat="1" applyFont="1" applyBorder="1" applyAlignment="1">
      <alignment horizontal="left" vertical="center"/>
    </xf>
    <xf numFmtId="49" fontId="14" fillId="0" borderId="28" xfId="1" applyNumberFormat="1" applyFont="1" applyBorder="1" applyAlignment="1">
      <alignment horizontal="left" vertical="center"/>
    </xf>
    <xf numFmtId="1" fontId="14" fillId="9" borderId="63" xfId="8" applyNumberFormat="1" applyFont="1" applyFill="1" applyAlignment="1" applyProtection="1">
      <alignment horizontal="left" vertical="center"/>
    </xf>
    <xf numFmtId="49" fontId="5" fillId="0" borderId="1" xfId="1" applyNumberFormat="1" applyFont="1" applyBorder="1" applyAlignment="1">
      <alignment horizontal="left" vertical="center"/>
    </xf>
    <xf numFmtId="49" fontId="5" fillId="0" borderId="2" xfId="1" applyNumberFormat="1" applyFont="1" applyBorder="1" applyAlignment="1">
      <alignment horizontal="left" vertical="center"/>
    </xf>
    <xf numFmtId="49" fontId="5" fillId="0" borderId="3" xfId="1" applyNumberFormat="1" applyFont="1" applyBorder="1" applyAlignment="1">
      <alignment horizontal="left" vertical="center"/>
    </xf>
    <xf numFmtId="49" fontId="5" fillId="0" borderId="24" xfId="1" applyNumberFormat="1" applyFont="1" applyBorder="1" applyAlignment="1">
      <alignment horizontal="left" vertical="center"/>
    </xf>
    <xf numFmtId="49" fontId="5" fillId="0" borderId="25" xfId="1" applyNumberFormat="1" applyFont="1" applyBorder="1" applyAlignment="1">
      <alignment horizontal="left" vertical="center"/>
    </xf>
    <xf numFmtId="49" fontId="5" fillId="0" borderId="26" xfId="1" applyNumberFormat="1" applyFont="1" applyBorder="1" applyAlignment="1">
      <alignment horizontal="left" vertical="center"/>
    </xf>
    <xf numFmtId="49" fontId="15" fillId="0" borderId="0" xfId="1" applyNumberFormat="1" applyFont="1" applyAlignment="1">
      <alignment horizontal="center" vertical="center" textRotation="90"/>
    </xf>
    <xf numFmtId="49" fontId="15" fillId="0" borderId="25" xfId="1" applyNumberFormat="1" applyFont="1" applyBorder="1" applyAlignment="1">
      <alignment horizontal="center" vertical="center" textRotation="90"/>
    </xf>
    <xf numFmtId="49" fontId="6" fillId="0" borderId="1" xfId="1" applyNumberFormat="1" applyFont="1" applyBorder="1" applyAlignment="1">
      <alignment horizontal="left" vertical="center" wrapText="1"/>
    </xf>
    <xf numFmtId="49" fontId="6" fillId="0" borderId="2" xfId="1" applyNumberFormat="1" applyFont="1" applyBorder="1" applyAlignment="1">
      <alignment horizontal="left" vertical="center" wrapText="1"/>
    </xf>
    <xf numFmtId="49" fontId="6" fillId="0" borderId="3" xfId="1" applyNumberFormat="1" applyFont="1" applyBorder="1" applyAlignment="1">
      <alignment horizontal="left" vertical="center" wrapText="1"/>
    </xf>
    <xf numFmtId="49" fontId="6" fillId="0" borderId="24" xfId="1" applyNumberFormat="1" applyFont="1" applyBorder="1" applyAlignment="1">
      <alignment horizontal="left" vertical="center" wrapText="1"/>
    </xf>
    <xf numFmtId="49" fontId="6" fillId="0" borderId="25" xfId="1" applyNumberFormat="1" applyFont="1" applyBorder="1" applyAlignment="1">
      <alignment horizontal="left" vertical="center" wrapText="1"/>
    </xf>
    <xf numFmtId="49" fontId="6" fillId="0" borderId="26" xfId="1" applyNumberFormat="1" applyFont="1" applyBorder="1" applyAlignment="1">
      <alignment horizontal="left" vertical="center" wrapText="1"/>
    </xf>
    <xf numFmtId="0" fontId="10" fillId="0" borderId="19" xfId="2" applyFont="1" applyBorder="1" applyAlignment="1">
      <alignment horizontal="center"/>
    </xf>
    <xf numFmtId="0" fontId="10" fillId="0" borderId="20" xfId="2" applyFont="1" applyBorder="1" applyAlignment="1">
      <alignment horizontal="center"/>
    </xf>
    <xf numFmtId="0" fontId="10" fillId="0" borderId="38" xfId="2" applyFont="1" applyBorder="1" applyAlignment="1">
      <alignment horizontal="center" vertical="center"/>
    </xf>
    <xf numFmtId="0" fontId="10" fillId="0" borderId="39" xfId="2" applyFont="1" applyBorder="1" applyAlignment="1">
      <alignment horizontal="center" vertical="center"/>
    </xf>
    <xf numFmtId="0" fontId="10" fillId="0" borderId="38" xfId="2" applyFont="1" applyBorder="1" applyAlignment="1">
      <alignment horizontal="center" vertical="top"/>
    </xf>
    <xf numFmtId="0" fontId="10" fillId="0" borderId="39" xfId="2" applyFont="1" applyBorder="1" applyAlignment="1">
      <alignment horizontal="center" vertical="top"/>
    </xf>
    <xf numFmtId="0" fontId="16" fillId="0" borderId="45" xfId="2" applyFont="1" applyBorder="1" applyAlignment="1">
      <alignment horizontal="center"/>
    </xf>
    <xf numFmtId="0" fontId="16" fillId="0" borderId="46" xfId="2" applyFont="1" applyBorder="1" applyAlignment="1">
      <alignment horizontal="center"/>
    </xf>
    <xf numFmtId="0" fontId="8" fillId="0" borderId="48" xfId="2" applyBorder="1"/>
    <xf numFmtId="0" fontId="8" fillId="0" borderId="0" xfId="2" applyAlignment="1">
      <alignment horizontal="center"/>
    </xf>
    <xf numFmtId="0" fontId="14" fillId="0" borderId="6" xfId="2" applyFont="1" applyBorder="1" applyAlignment="1" applyProtection="1">
      <alignment horizontal="left"/>
      <protection locked="0"/>
    </xf>
    <xf numFmtId="0" fontId="10" fillId="0" borderId="16" xfId="2" applyFont="1" applyBorder="1" applyAlignment="1">
      <alignment horizontal="center"/>
    </xf>
    <xf numFmtId="0" fontId="10" fillId="0" borderId="23" xfId="2" applyFont="1" applyBorder="1" applyAlignment="1">
      <alignment horizontal="center"/>
    </xf>
    <xf numFmtId="0" fontId="10" fillId="0" borderId="17" xfId="2" applyFont="1" applyBorder="1" applyAlignment="1">
      <alignment horizontal="center"/>
    </xf>
    <xf numFmtId="0" fontId="8" fillId="0" borderId="4" xfId="2" applyBorder="1" applyAlignment="1">
      <alignment horizontal="center"/>
    </xf>
    <xf numFmtId="49" fontId="16" fillId="0" borderId="9" xfId="2" applyNumberFormat="1" applyFont="1" applyBorder="1" applyAlignment="1" applyProtection="1">
      <alignment horizontal="center"/>
      <protection locked="0"/>
    </xf>
    <xf numFmtId="49" fontId="16" fillId="0" borderId="9" xfId="2" applyNumberFormat="1" applyFont="1" applyBorder="1" applyAlignment="1" applyProtection="1">
      <alignment horizontal="left"/>
      <protection locked="0"/>
    </xf>
    <xf numFmtId="49" fontId="16" fillId="0" borderId="16" xfId="2" applyNumberFormat="1" applyFont="1" applyBorder="1" applyAlignment="1" applyProtection="1">
      <alignment horizontal="left"/>
      <protection locked="0"/>
    </xf>
    <xf numFmtId="49" fontId="16" fillId="0" borderId="23" xfId="2" applyNumberFormat="1" applyFont="1" applyBorder="1" applyAlignment="1" applyProtection="1">
      <alignment horizontal="left"/>
      <protection locked="0"/>
    </xf>
    <xf numFmtId="49" fontId="16" fillId="0" borderId="17" xfId="2" applyNumberFormat="1" applyFont="1" applyBorder="1" applyAlignment="1" applyProtection="1">
      <alignment horizontal="left"/>
      <protection locked="0"/>
    </xf>
    <xf numFmtId="0" fontId="5" fillId="0" borderId="9" xfId="2" applyFont="1" applyBorder="1" applyAlignment="1" applyProtection="1">
      <alignment horizontal="center"/>
      <protection locked="0"/>
    </xf>
    <xf numFmtId="0" fontId="18" fillId="0" borderId="1" xfId="2" applyFont="1" applyBorder="1" applyAlignment="1">
      <alignment horizontal="center" vertical="center"/>
    </xf>
    <xf numFmtId="0" fontId="18" fillId="0" borderId="2" xfId="2" applyFont="1" applyBorder="1" applyAlignment="1">
      <alignment horizontal="center" vertical="center"/>
    </xf>
    <xf numFmtId="0" fontId="18" fillId="0" borderId="3" xfId="2" applyFont="1" applyBorder="1" applyAlignment="1">
      <alignment horizontal="center" vertical="center"/>
    </xf>
    <xf numFmtId="0" fontId="18" fillId="0" borderId="7" xfId="2" applyFont="1" applyBorder="1" applyAlignment="1">
      <alignment horizontal="center" vertical="center"/>
    </xf>
    <xf numFmtId="0" fontId="18" fillId="0" borderId="8" xfId="2" applyFont="1" applyBorder="1" applyAlignment="1">
      <alignment horizontal="center" vertical="center"/>
    </xf>
    <xf numFmtId="0" fontId="18" fillId="0" borderId="11" xfId="2" applyFont="1" applyBorder="1" applyAlignment="1">
      <alignment horizontal="center" vertical="center"/>
    </xf>
    <xf numFmtId="0" fontId="8" fillId="0" borderId="8" xfId="3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10" fillId="0" borderId="9" xfId="2" applyFont="1" applyBorder="1" applyAlignment="1">
      <alignment horizontal="center"/>
    </xf>
    <xf numFmtId="0" fontId="8" fillId="0" borderId="9" xfId="2" applyBorder="1"/>
    <xf numFmtId="0" fontId="8" fillId="0" borderId="4" xfId="2" applyBorder="1" applyAlignment="1">
      <alignment horizontal="left"/>
    </xf>
    <xf numFmtId="0" fontId="8" fillId="0" borderId="0" xfId="2" applyAlignment="1">
      <alignment horizontal="left"/>
    </xf>
    <xf numFmtId="164" fontId="5" fillId="0" borderId="6" xfId="2" applyNumberFormat="1" applyFont="1" applyBorder="1" applyAlignment="1" applyProtection="1">
      <alignment horizontal="center" vertical="center"/>
      <protection locked="0"/>
    </xf>
    <xf numFmtId="49" fontId="5" fillId="0" borderId="6" xfId="2" applyNumberFormat="1" applyFont="1" applyBorder="1" applyAlignment="1" applyProtection="1">
      <alignment horizontal="left"/>
      <protection locked="0"/>
    </xf>
    <xf numFmtId="0" fontId="4" fillId="0" borderId="0" xfId="2" applyFont="1" applyAlignment="1">
      <alignment horizontal="center" vertical="center"/>
    </xf>
    <xf numFmtId="14" fontId="23" fillId="6" borderId="41" xfId="7" applyNumberFormat="1" applyFont="1" applyBorder="1" applyAlignment="1" applyProtection="1">
      <alignment horizontal="center" vertical="center"/>
    </xf>
    <xf numFmtId="14" fontId="23" fillId="6" borderId="38" xfId="7" applyNumberFormat="1" applyFont="1" applyBorder="1" applyAlignment="1" applyProtection="1">
      <alignment horizontal="center" vertical="center"/>
    </xf>
    <xf numFmtId="14" fontId="23" fillId="6" borderId="40" xfId="7" applyNumberFormat="1" applyFont="1" applyBorder="1" applyAlignment="1" applyProtection="1">
      <alignment horizontal="center" vertical="center"/>
    </xf>
    <xf numFmtId="1" fontId="8" fillId="0" borderId="0" xfId="2" applyNumberFormat="1" applyAlignment="1">
      <alignment horizontal="left" vertical="center"/>
    </xf>
    <xf numFmtId="14" fontId="5" fillId="0" borderId="41" xfId="2" applyNumberFormat="1" applyFont="1" applyBorder="1" applyAlignment="1">
      <alignment horizontal="center" vertical="center"/>
    </xf>
    <xf numFmtId="0" fontId="5" fillId="0" borderId="38" xfId="2" applyFont="1" applyBorder="1" applyAlignment="1">
      <alignment horizontal="center" vertical="center"/>
    </xf>
    <xf numFmtId="0" fontId="5" fillId="0" borderId="40" xfId="2" applyFont="1" applyBorder="1" applyAlignment="1">
      <alignment horizontal="center" vertical="center"/>
    </xf>
    <xf numFmtId="165" fontId="4" fillId="0" borderId="41" xfId="2" applyNumberFormat="1" applyFont="1" applyBorder="1" applyAlignment="1">
      <alignment horizontal="center" vertical="center"/>
    </xf>
    <xf numFmtId="165" fontId="4" fillId="0" borderId="38" xfId="2" applyNumberFormat="1" applyFont="1" applyBorder="1" applyAlignment="1">
      <alignment horizontal="center" vertical="center"/>
    </xf>
    <xf numFmtId="165" fontId="4" fillId="0" borderId="40" xfId="2" applyNumberFormat="1" applyFont="1" applyBorder="1" applyAlignment="1">
      <alignment horizontal="center" vertical="center"/>
    </xf>
    <xf numFmtId="0" fontId="8" fillId="0" borderId="47" xfId="2" applyBorder="1" applyAlignment="1">
      <alignment horizontal="center"/>
    </xf>
    <xf numFmtId="0" fontId="8" fillId="0" borderId="0" xfId="2" applyAlignment="1">
      <alignment horizontal="left" vertical="center"/>
    </xf>
    <xf numFmtId="0" fontId="8" fillId="0" borderId="8" xfId="2" applyBorder="1" applyAlignment="1">
      <alignment horizontal="center"/>
    </xf>
    <xf numFmtId="0" fontId="8" fillId="0" borderId="2" xfId="2" applyBorder="1" applyAlignment="1">
      <alignment horizontal="center"/>
    </xf>
    <xf numFmtId="0" fontId="6" fillId="0" borderId="0" xfId="2" applyFont="1" applyAlignment="1">
      <alignment horizontal="left" vertical="center"/>
    </xf>
    <xf numFmtId="0" fontId="8" fillId="0" borderId="0" xfId="2" applyAlignment="1">
      <alignment horizontal="right"/>
    </xf>
    <xf numFmtId="1" fontId="5" fillId="0" borderId="41" xfId="2" applyNumberFormat="1" applyFont="1" applyBorder="1" applyAlignment="1">
      <alignment horizontal="center" vertical="center"/>
    </xf>
    <xf numFmtId="1" fontId="16" fillId="0" borderId="41" xfId="2" applyNumberFormat="1" applyFont="1" applyBorder="1" applyAlignment="1">
      <alignment horizontal="center" vertical="center"/>
    </xf>
    <xf numFmtId="1" fontId="16" fillId="0" borderId="38" xfId="2" applyNumberFormat="1" applyFont="1" applyBorder="1" applyAlignment="1">
      <alignment horizontal="center" vertical="center"/>
    </xf>
    <xf numFmtId="1" fontId="16" fillId="0" borderId="40" xfId="2" applyNumberFormat="1" applyFont="1" applyBorder="1" applyAlignment="1">
      <alignment horizontal="center" vertical="center"/>
    </xf>
    <xf numFmtId="164" fontId="5" fillId="4" borderId="41" xfId="2" applyNumberFormat="1" applyFont="1" applyFill="1" applyBorder="1" applyAlignment="1" applyProtection="1">
      <alignment horizontal="center" vertical="center"/>
      <protection locked="0"/>
    </xf>
    <xf numFmtId="164" fontId="5" fillId="4" borderId="38" xfId="2" applyNumberFormat="1" applyFont="1" applyFill="1" applyBorder="1" applyAlignment="1" applyProtection="1">
      <alignment horizontal="center" vertical="center"/>
      <protection locked="0"/>
    </xf>
    <xf numFmtId="164" fontId="5" fillId="4" borderId="40" xfId="2" applyNumberFormat="1" applyFont="1" applyFill="1" applyBorder="1" applyAlignment="1" applyProtection="1">
      <alignment horizontal="center" vertical="center"/>
      <protection locked="0"/>
    </xf>
    <xf numFmtId="0" fontId="6" fillId="2" borderId="18" xfId="2" applyFont="1" applyFill="1" applyBorder="1" applyAlignment="1">
      <alignment horizontal="center" vertical="center"/>
    </xf>
    <xf numFmtId="0" fontId="6" fillId="2" borderId="19" xfId="2" applyFont="1" applyFill="1" applyBorder="1" applyAlignment="1">
      <alignment horizontal="center" vertical="center"/>
    </xf>
    <xf numFmtId="0" fontId="6" fillId="2" borderId="20" xfId="2" applyFont="1" applyFill="1" applyBorder="1" applyAlignment="1">
      <alignment horizontal="center" vertical="center"/>
    </xf>
    <xf numFmtId="0" fontId="13" fillId="0" borderId="16" xfId="2" applyFont="1" applyBorder="1" applyAlignment="1">
      <alignment horizontal="center" vertical="center"/>
    </xf>
    <xf numFmtId="0" fontId="13" fillId="0" borderId="23" xfId="2" applyFont="1" applyBorder="1" applyAlignment="1">
      <alignment horizontal="center" vertical="center"/>
    </xf>
    <xf numFmtId="0" fontId="13" fillId="0" borderId="17" xfId="2" applyFont="1" applyBorder="1" applyAlignment="1">
      <alignment horizontal="center" vertical="center"/>
    </xf>
    <xf numFmtId="49" fontId="5" fillId="4" borderId="41" xfId="2" applyNumberFormat="1" applyFont="1" applyFill="1" applyBorder="1" applyAlignment="1" applyProtection="1">
      <alignment horizontal="center" vertical="center"/>
      <protection locked="0"/>
    </xf>
    <xf numFmtId="0" fontId="5" fillId="4" borderId="38" xfId="2" applyFont="1" applyFill="1" applyBorder="1" applyAlignment="1" applyProtection="1">
      <alignment horizontal="center" vertical="center"/>
      <protection locked="0"/>
    </xf>
    <xf numFmtId="0" fontId="5" fillId="4" borderId="40" xfId="2" applyFont="1" applyFill="1" applyBorder="1" applyAlignment="1" applyProtection="1">
      <alignment horizontal="center" vertical="center"/>
      <protection locked="0"/>
    </xf>
    <xf numFmtId="0" fontId="8" fillId="0" borderId="5" xfId="2" applyBorder="1" applyAlignment="1">
      <alignment horizontal="center"/>
    </xf>
    <xf numFmtId="49" fontId="13" fillId="4" borderId="44" xfId="2" applyNumberFormat="1" applyFont="1" applyFill="1" applyBorder="1" applyAlignment="1" applyProtection="1">
      <alignment horizontal="center" vertical="center"/>
      <protection locked="0"/>
    </xf>
    <xf numFmtId="49" fontId="13" fillId="4" borderId="43" xfId="2" applyNumberFormat="1" applyFont="1" applyFill="1" applyBorder="1" applyAlignment="1" applyProtection="1">
      <alignment horizontal="center" vertical="center"/>
      <protection locked="0"/>
    </xf>
    <xf numFmtId="49" fontId="13" fillId="4" borderId="42" xfId="2" applyNumberFormat="1" applyFont="1" applyFill="1" applyBorder="1" applyAlignment="1" applyProtection="1">
      <alignment horizontal="center" vertical="center"/>
      <protection locked="0"/>
    </xf>
    <xf numFmtId="49" fontId="13" fillId="4" borderId="7" xfId="2" applyNumberFormat="1" applyFont="1" applyFill="1" applyBorder="1" applyAlignment="1" applyProtection="1">
      <alignment horizontal="center" vertical="center"/>
      <protection locked="0"/>
    </xf>
    <xf numFmtId="49" fontId="13" fillId="4" borderId="8" xfId="2" applyNumberFormat="1" applyFont="1" applyFill="1" applyBorder="1" applyAlignment="1" applyProtection="1">
      <alignment horizontal="center" vertical="center"/>
      <protection locked="0"/>
    </xf>
    <xf numFmtId="49" fontId="13" fillId="4" borderId="11" xfId="2" applyNumberFormat="1" applyFont="1" applyFill="1" applyBorder="1" applyAlignment="1" applyProtection="1">
      <alignment horizontal="center" vertical="center"/>
      <protection locked="0"/>
    </xf>
    <xf numFmtId="0" fontId="5" fillId="0" borderId="7" xfId="2" applyFont="1" applyBorder="1" applyAlignment="1">
      <alignment horizontal="center"/>
    </xf>
    <xf numFmtId="0" fontId="5" fillId="0" borderId="8" xfId="2" applyFont="1" applyBorder="1" applyAlignment="1">
      <alignment horizontal="center"/>
    </xf>
    <xf numFmtId="0" fontId="5" fillId="0" borderId="11" xfId="2" applyFont="1" applyBorder="1" applyAlignment="1">
      <alignment horizontal="center"/>
    </xf>
    <xf numFmtId="0" fontId="11" fillId="0" borderId="0" xfId="2" applyFont="1" applyAlignment="1">
      <alignment horizontal="center"/>
    </xf>
    <xf numFmtId="0" fontId="6" fillId="0" borderId="2" xfId="2" applyFont="1" applyBorder="1" applyAlignment="1">
      <alignment horizontal="center"/>
    </xf>
    <xf numFmtId="0" fontId="10" fillId="0" borderId="0" xfId="2" applyFont="1" applyAlignment="1">
      <alignment horizontal="left"/>
    </xf>
    <xf numFmtId="0" fontId="9" fillId="0" borderId="0" xfId="2" applyFont="1" applyAlignment="1">
      <alignment horizontal="center"/>
    </xf>
    <xf numFmtId="0" fontId="8" fillId="0" borderId="50" xfId="2" applyBorder="1" applyAlignment="1">
      <alignment horizontal="left" vertical="center"/>
    </xf>
    <xf numFmtId="0" fontId="5" fillId="4" borderId="41" xfId="2" applyFont="1" applyFill="1" applyBorder="1" applyAlignment="1" applyProtection="1">
      <alignment horizontal="center" vertical="center"/>
      <protection locked="0"/>
    </xf>
    <xf numFmtId="14" fontId="8" fillId="0" borderId="1" xfId="2" applyNumberFormat="1" applyBorder="1" applyAlignment="1">
      <alignment horizontal="center"/>
    </xf>
    <xf numFmtId="0" fontId="8" fillId="0" borderId="3" xfId="2" applyBorder="1" applyAlignment="1">
      <alignment horizontal="center"/>
    </xf>
    <xf numFmtId="0" fontId="8" fillId="0" borderId="7" xfId="2" applyBorder="1" applyAlignment="1">
      <alignment horizontal="center"/>
    </xf>
    <xf numFmtId="0" fontId="8" fillId="0" borderId="11" xfId="2" applyBorder="1" applyAlignment="1">
      <alignment horizontal="center"/>
    </xf>
    <xf numFmtId="0" fontId="14" fillId="0" borderId="1" xfId="2" applyFont="1" applyBorder="1" applyAlignment="1">
      <alignment horizontal="center" vertical="center"/>
    </xf>
    <xf numFmtId="0" fontId="14" fillId="0" borderId="2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4" fillId="0" borderId="7" xfId="2" applyFont="1" applyBorder="1" applyAlignment="1">
      <alignment horizontal="center" vertical="center"/>
    </xf>
    <xf numFmtId="0" fontId="14" fillId="0" borderId="8" xfId="2" applyFont="1" applyBorder="1" applyAlignment="1">
      <alignment horizontal="center" vertical="center"/>
    </xf>
    <xf numFmtId="14" fontId="14" fillId="0" borderId="2" xfId="2" applyNumberFormat="1" applyFont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0" fontId="14" fillId="0" borderId="11" xfId="2" applyFont="1" applyBorder="1" applyAlignment="1">
      <alignment horizontal="center" vertical="center"/>
    </xf>
    <xf numFmtId="0" fontId="8" fillId="0" borderId="43" xfId="2" applyBorder="1" applyAlignment="1" applyProtection="1">
      <alignment horizontal="center"/>
      <protection locked="0"/>
    </xf>
    <xf numFmtId="0" fontId="14" fillId="0" borderId="38" xfId="2" applyFont="1" applyBorder="1" applyAlignment="1" applyProtection="1">
      <alignment horizontal="left"/>
      <protection locked="0"/>
    </xf>
    <xf numFmtId="0" fontId="4" fillId="0" borderId="51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43" fillId="0" borderId="0" xfId="2" applyFont="1" applyAlignment="1">
      <alignment horizontal="center" vertical="top"/>
    </xf>
    <xf numFmtId="0" fontId="8" fillId="0" borderId="0" xfId="0" applyFont="1" applyAlignment="1">
      <alignment horizontal="center"/>
    </xf>
  </cellXfs>
  <cellStyles count="12">
    <cellStyle name="20 % - Akzent6" xfId="7" builtinId="50"/>
    <cellStyle name="Ausgabe" xfId="5" builtinId="21"/>
    <cellStyle name="Notiz" xfId="8" builtinId="10"/>
    <cellStyle name="Standard" xfId="0" builtinId="0"/>
    <cellStyle name="Standard 2" xfId="1" xr:uid="{00000000-0005-0000-0000-000004000000}"/>
    <cellStyle name="Standard 2 2" xfId="2" xr:uid="{00000000-0005-0000-0000-000005000000}"/>
    <cellStyle name="Standard 3" xfId="3" xr:uid="{00000000-0005-0000-0000-000006000000}"/>
    <cellStyle name="Standard 4" xfId="6" xr:uid="{00000000-0005-0000-0000-000007000000}"/>
    <cellStyle name="Standard 5" xfId="10" xr:uid="{00000000-0005-0000-0000-000008000000}"/>
    <cellStyle name="Standard 6" xfId="11" xr:uid="{00000000-0005-0000-0000-000009000000}"/>
    <cellStyle name="Währung" xfId="4" builtinId="4"/>
    <cellStyle name="Währung 2" xfId="9" xr:uid="{00000000-0005-0000-0000-00000B000000}"/>
  </cellStyles>
  <dxfs count="14"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67B03"/>
      <color rgb="FF0F7E00"/>
      <color rgb="FF0777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799338</xdr:colOff>
      <xdr:row>53</xdr:row>
      <xdr:rowOff>212343</xdr:rowOff>
    </xdr:from>
    <xdr:ext cx="15240" cy="26034"/>
    <xdr:sp macro="" textlink="">
      <xdr:nvSpPr>
        <xdr:cNvPr id="2" name="Shape 16">
          <a:extLst>
            <a:ext uri="{FF2B5EF4-FFF2-40B4-BE49-F238E27FC236}">
              <a16:creationId xmlns:a16="http://schemas.microsoft.com/office/drawing/2014/main" id="{D5BCCB12-5DFA-4138-8BCA-8735C844DB2C}"/>
            </a:ext>
          </a:extLst>
        </xdr:cNvPr>
        <xdr:cNvSpPr/>
      </xdr:nvSpPr>
      <xdr:spPr>
        <a:xfrm>
          <a:off x="2951988" y="8918193"/>
          <a:ext cx="15240" cy="26034"/>
        </a:xfrm>
        <a:custGeom>
          <a:avLst/>
          <a:gdLst/>
          <a:ahLst/>
          <a:cxnLst/>
          <a:rect l="0" t="0" r="0" b="0"/>
          <a:pathLst>
            <a:path w="15240" h="26034">
              <a:moveTo>
                <a:pt x="4572" y="25908"/>
              </a:moveTo>
              <a:lnTo>
                <a:pt x="0" y="25908"/>
              </a:lnTo>
              <a:lnTo>
                <a:pt x="0" y="24384"/>
              </a:lnTo>
              <a:lnTo>
                <a:pt x="6096" y="10668"/>
              </a:lnTo>
              <a:lnTo>
                <a:pt x="6096" y="1524"/>
              </a:lnTo>
              <a:lnTo>
                <a:pt x="7620" y="1524"/>
              </a:lnTo>
              <a:lnTo>
                <a:pt x="7620" y="0"/>
              </a:lnTo>
              <a:lnTo>
                <a:pt x="15240" y="0"/>
              </a:lnTo>
              <a:lnTo>
                <a:pt x="15240" y="10668"/>
              </a:lnTo>
              <a:lnTo>
                <a:pt x="13716" y="12192"/>
              </a:lnTo>
              <a:lnTo>
                <a:pt x="13716" y="13716"/>
              </a:lnTo>
              <a:lnTo>
                <a:pt x="12192" y="13716"/>
              </a:lnTo>
              <a:lnTo>
                <a:pt x="6096" y="24384"/>
              </a:lnTo>
              <a:lnTo>
                <a:pt x="4572" y="25908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25</xdr:col>
      <xdr:colOff>315214</xdr:colOff>
      <xdr:row>56</xdr:row>
      <xdr:rowOff>78739</xdr:rowOff>
    </xdr:from>
    <xdr:ext cx="24765" cy="6350"/>
    <xdr:sp macro="" textlink="">
      <xdr:nvSpPr>
        <xdr:cNvPr id="3" name="Shape 18">
          <a:extLst>
            <a:ext uri="{FF2B5EF4-FFF2-40B4-BE49-F238E27FC236}">
              <a16:creationId xmlns:a16="http://schemas.microsoft.com/office/drawing/2014/main" id="{C8203DB2-66E7-4227-88CE-A4DF0749861D}"/>
            </a:ext>
          </a:extLst>
        </xdr:cNvPr>
        <xdr:cNvSpPr/>
      </xdr:nvSpPr>
      <xdr:spPr>
        <a:xfrm>
          <a:off x="15669514" y="9324339"/>
          <a:ext cx="24765" cy="6350"/>
        </a:xfrm>
        <a:custGeom>
          <a:avLst/>
          <a:gdLst/>
          <a:ahLst/>
          <a:cxnLst/>
          <a:rect l="0" t="0" r="0" b="0"/>
          <a:pathLst>
            <a:path w="24765" h="6350">
              <a:moveTo>
                <a:pt x="24384" y="6096"/>
              </a:moveTo>
              <a:lnTo>
                <a:pt x="0" y="6096"/>
              </a:lnTo>
              <a:lnTo>
                <a:pt x="0" y="0"/>
              </a:lnTo>
              <a:lnTo>
                <a:pt x="24384" y="0"/>
              </a:lnTo>
              <a:lnTo>
                <a:pt x="24384" y="6096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5</xdr:col>
      <xdr:colOff>88138</xdr:colOff>
      <xdr:row>64</xdr:row>
      <xdr:rowOff>0</xdr:rowOff>
    </xdr:from>
    <xdr:ext cx="15240" cy="26034"/>
    <xdr:sp macro="" textlink="">
      <xdr:nvSpPr>
        <xdr:cNvPr id="4" name="Shape 19">
          <a:extLst>
            <a:ext uri="{FF2B5EF4-FFF2-40B4-BE49-F238E27FC236}">
              <a16:creationId xmlns:a16="http://schemas.microsoft.com/office/drawing/2014/main" id="{9AE5ACD6-4DBA-443C-AF57-90CB769E2072}"/>
            </a:ext>
          </a:extLst>
        </xdr:cNvPr>
        <xdr:cNvSpPr/>
      </xdr:nvSpPr>
      <xdr:spPr>
        <a:xfrm>
          <a:off x="3040888" y="10566400"/>
          <a:ext cx="15240" cy="26034"/>
        </a:xfrm>
        <a:custGeom>
          <a:avLst/>
          <a:gdLst/>
          <a:ahLst/>
          <a:cxnLst/>
          <a:rect l="0" t="0" r="0" b="0"/>
          <a:pathLst>
            <a:path w="15240" h="26034">
              <a:moveTo>
                <a:pt x="4572" y="25908"/>
              </a:moveTo>
              <a:lnTo>
                <a:pt x="0" y="25908"/>
              </a:lnTo>
              <a:lnTo>
                <a:pt x="0" y="24384"/>
              </a:lnTo>
              <a:lnTo>
                <a:pt x="6096" y="10668"/>
              </a:lnTo>
              <a:lnTo>
                <a:pt x="6096" y="1524"/>
              </a:lnTo>
              <a:lnTo>
                <a:pt x="7620" y="1524"/>
              </a:lnTo>
              <a:lnTo>
                <a:pt x="7620" y="0"/>
              </a:lnTo>
              <a:lnTo>
                <a:pt x="15240" y="0"/>
              </a:lnTo>
              <a:lnTo>
                <a:pt x="15240" y="10668"/>
              </a:lnTo>
              <a:lnTo>
                <a:pt x="13716" y="12192"/>
              </a:lnTo>
              <a:lnTo>
                <a:pt x="13716" y="13716"/>
              </a:lnTo>
              <a:lnTo>
                <a:pt x="12192" y="13716"/>
              </a:lnTo>
              <a:lnTo>
                <a:pt x="6096" y="24384"/>
              </a:lnTo>
              <a:lnTo>
                <a:pt x="4572" y="25908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21</xdr:col>
      <xdr:colOff>642873</xdr:colOff>
      <xdr:row>64</xdr:row>
      <xdr:rowOff>0</xdr:rowOff>
    </xdr:from>
    <xdr:ext cx="17145" cy="26034"/>
    <xdr:sp macro="" textlink="">
      <xdr:nvSpPr>
        <xdr:cNvPr id="5" name="Shape 21">
          <a:extLst>
            <a:ext uri="{FF2B5EF4-FFF2-40B4-BE49-F238E27FC236}">
              <a16:creationId xmlns:a16="http://schemas.microsoft.com/office/drawing/2014/main" id="{FB8E36AA-D747-4565-80F8-D286B31548A6}"/>
            </a:ext>
          </a:extLst>
        </xdr:cNvPr>
        <xdr:cNvSpPr/>
      </xdr:nvSpPr>
      <xdr:spPr>
        <a:xfrm>
          <a:off x="13584173" y="10566400"/>
          <a:ext cx="17145" cy="26034"/>
        </a:xfrm>
        <a:custGeom>
          <a:avLst/>
          <a:gdLst/>
          <a:ahLst/>
          <a:cxnLst/>
          <a:rect l="0" t="0" r="0" b="0"/>
          <a:pathLst>
            <a:path w="17145" h="26034">
              <a:moveTo>
                <a:pt x="6096" y="25908"/>
              </a:moveTo>
              <a:lnTo>
                <a:pt x="0" y="25908"/>
              </a:lnTo>
              <a:lnTo>
                <a:pt x="0" y="24384"/>
              </a:lnTo>
              <a:lnTo>
                <a:pt x="6096" y="10668"/>
              </a:lnTo>
              <a:lnTo>
                <a:pt x="6096" y="3048"/>
              </a:lnTo>
              <a:lnTo>
                <a:pt x="7620" y="1524"/>
              </a:lnTo>
              <a:lnTo>
                <a:pt x="7620" y="0"/>
              </a:lnTo>
              <a:lnTo>
                <a:pt x="15240" y="0"/>
              </a:lnTo>
              <a:lnTo>
                <a:pt x="15240" y="1524"/>
              </a:lnTo>
              <a:lnTo>
                <a:pt x="16764" y="3048"/>
              </a:lnTo>
              <a:lnTo>
                <a:pt x="16764" y="7620"/>
              </a:lnTo>
              <a:lnTo>
                <a:pt x="15240" y="9144"/>
              </a:lnTo>
              <a:lnTo>
                <a:pt x="15240" y="12192"/>
              </a:lnTo>
              <a:lnTo>
                <a:pt x="13716" y="12192"/>
              </a:lnTo>
              <a:lnTo>
                <a:pt x="13716" y="13716"/>
              </a:lnTo>
              <a:lnTo>
                <a:pt x="6096" y="24384"/>
              </a:lnTo>
              <a:lnTo>
                <a:pt x="6096" y="25908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26</xdr:col>
      <xdr:colOff>441197</xdr:colOff>
      <xdr:row>64</xdr:row>
      <xdr:rowOff>0</xdr:rowOff>
    </xdr:from>
    <xdr:ext cx="24765" cy="6350"/>
    <xdr:sp macro="" textlink="">
      <xdr:nvSpPr>
        <xdr:cNvPr id="6" name="Shape 22">
          <a:extLst>
            <a:ext uri="{FF2B5EF4-FFF2-40B4-BE49-F238E27FC236}">
              <a16:creationId xmlns:a16="http://schemas.microsoft.com/office/drawing/2014/main" id="{39B1C8C7-E1C8-45D1-AF84-BAF3F90B089C}"/>
            </a:ext>
          </a:extLst>
        </xdr:cNvPr>
        <xdr:cNvSpPr/>
      </xdr:nvSpPr>
      <xdr:spPr>
        <a:xfrm>
          <a:off x="16386047" y="10566400"/>
          <a:ext cx="24765" cy="6350"/>
        </a:xfrm>
        <a:custGeom>
          <a:avLst/>
          <a:gdLst/>
          <a:ahLst/>
          <a:cxnLst/>
          <a:rect l="0" t="0" r="0" b="0"/>
          <a:pathLst>
            <a:path w="24765" h="6350">
              <a:moveTo>
                <a:pt x="24384" y="6096"/>
              </a:moveTo>
              <a:lnTo>
                <a:pt x="0" y="6096"/>
              </a:lnTo>
              <a:lnTo>
                <a:pt x="0" y="0"/>
              </a:lnTo>
              <a:lnTo>
                <a:pt x="24384" y="0"/>
              </a:lnTo>
              <a:lnTo>
                <a:pt x="24384" y="6096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4</xdr:col>
      <xdr:colOff>799338</xdr:colOff>
      <xdr:row>54</xdr:row>
      <xdr:rowOff>212343</xdr:rowOff>
    </xdr:from>
    <xdr:ext cx="15240" cy="26034"/>
    <xdr:sp macro="" textlink="">
      <xdr:nvSpPr>
        <xdr:cNvPr id="8" name="Shape 16">
          <a:extLst>
            <a:ext uri="{FF2B5EF4-FFF2-40B4-BE49-F238E27FC236}">
              <a16:creationId xmlns:a16="http://schemas.microsoft.com/office/drawing/2014/main" id="{117936BC-48B6-4397-AEA5-14F8ECB04181}"/>
            </a:ext>
          </a:extLst>
        </xdr:cNvPr>
        <xdr:cNvSpPr/>
      </xdr:nvSpPr>
      <xdr:spPr>
        <a:xfrm>
          <a:off x="2951988" y="9083293"/>
          <a:ext cx="15240" cy="26034"/>
        </a:xfrm>
        <a:custGeom>
          <a:avLst/>
          <a:gdLst/>
          <a:ahLst/>
          <a:cxnLst/>
          <a:rect l="0" t="0" r="0" b="0"/>
          <a:pathLst>
            <a:path w="15240" h="26034">
              <a:moveTo>
                <a:pt x="4572" y="25908"/>
              </a:moveTo>
              <a:lnTo>
                <a:pt x="0" y="25908"/>
              </a:lnTo>
              <a:lnTo>
                <a:pt x="0" y="24384"/>
              </a:lnTo>
              <a:lnTo>
                <a:pt x="6096" y="10668"/>
              </a:lnTo>
              <a:lnTo>
                <a:pt x="6096" y="1524"/>
              </a:lnTo>
              <a:lnTo>
                <a:pt x="7620" y="1524"/>
              </a:lnTo>
              <a:lnTo>
                <a:pt x="7620" y="0"/>
              </a:lnTo>
              <a:lnTo>
                <a:pt x="15240" y="0"/>
              </a:lnTo>
              <a:lnTo>
                <a:pt x="15240" y="10668"/>
              </a:lnTo>
              <a:lnTo>
                <a:pt x="13716" y="12192"/>
              </a:lnTo>
              <a:lnTo>
                <a:pt x="13716" y="13716"/>
              </a:lnTo>
              <a:lnTo>
                <a:pt x="12192" y="13716"/>
              </a:lnTo>
              <a:lnTo>
                <a:pt x="6096" y="24384"/>
              </a:lnTo>
              <a:lnTo>
                <a:pt x="4572" y="25908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twoCellAnchor editAs="oneCell">
    <xdr:from>
      <xdr:col>0</xdr:col>
      <xdr:colOff>33618</xdr:colOff>
      <xdr:row>0</xdr:row>
      <xdr:rowOff>201706</xdr:rowOff>
    </xdr:from>
    <xdr:to>
      <xdr:col>4</xdr:col>
      <xdr:colOff>45945</xdr:colOff>
      <xdr:row>1</xdr:row>
      <xdr:rowOff>123264</xdr:rowOff>
    </xdr:to>
    <xdr:pic>
      <xdr:nvPicPr>
        <xdr:cNvPr id="10" name="Picture 3" descr="Gelsenlog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201706"/>
          <a:ext cx="976033" cy="156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68035</xdr:colOff>
      <xdr:row>0</xdr:row>
      <xdr:rowOff>68036</xdr:rowOff>
    </xdr:from>
    <xdr:to>
      <xdr:col>6</xdr:col>
      <xdr:colOff>244928</xdr:colOff>
      <xdr:row>5</xdr:row>
      <xdr:rowOff>129269</xdr:rowOff>
    </xdr:to>
    <xdr:pic>
      <xdr:nvPicPr>
        <xdr:cNvPr id="2" name="Picture 3" descr="Gelsenlog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" y="68036"/>
          <a:ext cx="2329543" cy="6803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47625</xdr:colOff>
      <xdr:row>24</xdr:row>
      <xdr:rowOff>76200</xdr:rowOff>
    </xdr:from>
    <xdr:to>
      <xdr:col>22</xdr:col>
      <xdr:colOff>628650</xdr:colOff>
      <xdr:row>41</xdr:row>
      <xdr:rowOff>161925</xdr:rowOff>
    </xdr:to>
    <xdr:sp macro="" textlink="">
      <xdr:nvSpPr>
        <xdr:cNvPr id="2" name="AutoShape 139">
          <a:extLst>
            <a:ext uri="{FF2B5EF4-FFF2-40B4-BE49-F238E27FC236}">
              <a16:creationId xmlns:a16="http://schemas.microsoft.com/office/drawing/2014/main" id="{37B1A3CC-B2BE-45A7-AF56-B0D9270B1EED}"/>
            </a:ext>
          </a:extLst>
        </xdr:cNvPr>
        <xdr:cNvSpPr>
          <a:spLocks/>
        </xdr:cNvSpPr>
      </xdr:nvSpPr>
      <xdr:spPr bwMode="auto">
        <a:xfrm>
          <a:off x="5753100" y="5734050"/>
          <a:ext cx="581025" cy="4286250"/>
        </a:xfrm>
        <a:prstGeom prst="rightBrace">
          <a:avLst>
            <a:gd name="adj1" fmla="val 61475"/>
            <a:gd name="adj2" fmla="val 50106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19</xdr:col>
      <xdr:colOff>29886</xdr:colOff>
      <xdr:row>33</xdr:row>
      <xdr:rowOff>25294</xdr:rowOff>
    </xdr:from>
    <xdr:ext cx="198714" cy="212831"/>
    <xdr:sp macro="" textlink="">
      <xdr:nvSpPr>
        <xdr:cNvPr id="3" name="Rectangle 144">
          <a:extLst>
            <a:ext uri="{FF2B5EF4-FFF2-40B4-BE49-F238E27FC236}">
              <a16:creationId xmlns:a16="http://schemas.microsoft.com/office/drawing/2014/main" id="{4AE222E9-50A7-4B4B-BBD0-C1BE9B96E44A}"/>
            </a:ext>
          </a:extLst>
        </xdr:cNvPr>
        <xdr:cNvSpPr>
          <a:spLocks noChangeArrowheads="1"/>
        </xdr:cNvSpPr>
      </xdr:nvSpPr>
      <xdr:spPr bwMode="auto">
        <a:xfrm>
          <a:off x="4506636" y="7902469"/>
          <a:ext cx="198714" cy="21283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18288" tIns="27432" rIns="18288" bIns="27432" anchor="ctr" upright="1">
          <a:noAutofit/>
        </a:bodyPr>
        <a:lstStyle/>
        <a:p>
          <a:pPr algn="ctr" rtl="0">
            <a:defRPr sz="1000"/>
          </a:pPr>
          <a:r>
            <a:rPr lang="de-DE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ee</a:t>
          </a:r>
          <a:endParaRPr lang="de-DE"/>
        </a:p>
      </xdr:txBody>
    </xdr:sp>
    <xdr:clientData/>
  </xdr:oneCellAnchor>
  <xdr:twoCellAnchor>
    <xdr:from>
      <xdr:col>4</xdr:col>
      <xdr:colOff>0</xdr:colOff>
      <xdr:row>29</xdr:row>
      <xdr:rowOff>238125</xdr:rowOff>
    </xdr:from>
    <xdr:to>
      <xdr:col>22</xdr:col>
      <xdr:colOff>9525</xdr:colOff>
      <xdr:row>38</xdr:row>
      <xdr:rowOff>0</xdr:rowOff>
    </xdr:to>
    <xdr:sp macro="" textlink="">
      <xdr:nvSpPr>
        <xdr:cNvPr id="4" name="Line 146">
          <a:extLst>
            <a:ext uri="{FF2B5EF4-FFF2-40B4-BE49-F238E27FC236}">
              <a16:creationId xmlns:a16="http://schemas.microsoft.com/office/drawing/2014/main" id="{1C3D5F18-427C-4479-9F2F-EDD1EABA2C79}"/>
            </a:ext>
          </a:extLst>
        </xdr:cNvPr>
        <xdr:cNvSpPr>
          <a:spLocks noChangeShapeType="1"/>
        </xdr:cNvSpPr>
      </xdr:nvSpPr>
      <xdr:spPr bwMode="auto">
        <a:xfrm flipV="1">
          <a:off x="885825" y="7134225"/>
          <a:ext cx="4829175" cy="1981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285750</xdr:colOff>
      <xdr:row>40</xdr:row>
      <xdr:rowOff>142875</xdr:rowOff>
    </xdr:from>
    <xdr:to>
      <xdr:col>21</xdr:col>
      <xdr:colOff>628650</xdr:colOff>
      <xdr:row>41</xdr:row>
      <xdr:rowOff>95250</xdr:rowOff>
    </xdr:to>
    <xdr:sp macro="" textlink="">
      <xdr:nvSpPr>
        <xdr:cNvPr id="6" name="Line 149">
          <a:extLst>
            <a:ext uri="{FF2B5EF4-FFF2-40B4-BE49-F238E27FC236}">
              <a16:creationId xmlns:a16="http://schemas.microsoft.com/office/drawing/2014/main" id="{63EAB74B-F8B7-40D7-947E-C3CA7E00ED95}"/>
            </a:ext>
          </a:extLst>
        </xdr:cNvPr>
        <xdr:cNvSpPr>
          <a:spLocks noChangeShapeType="1"/>
        </xdr:cNvSpPr>
      </xdr:nvSpPr>
      <xdr:spPr bwMode="auto">
        <a:xfrm flipV="1">
          <a:off x="5276850" y="9753600"/>
          <a:ext cx="3429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228600</xdr:colOff>
      <xdr:row>25</xdr:row>
      <xdr:rowOff>0</xdr:rowOff>
    </xdr:from>
    <xdr:to>
      <xdr:col>21</xdr:col>
      <xdr:colOff>542925</xdr:colOff>
      <xdr:row>26</xdr:row>
      <xdr:rowOff>9525</xdr:rowOff>
    </xdr:to>
    <xdr:sp macro="" textlink="">
      <xdr:nvSpPr>
        <xdr:cNvPr id="7" name="Line 148">
          <a:extLst>
            <a:ext uri="{FF2B5EF4-FFF2-40B4-BE49-F238E27FC236}">
              <a16:creationId xmlns:a16="http://schemas.microsoft.com/office/drawing/2014/main" id="{A8833592-6DD6-4A98-BA79-00161F6AA053}"/>
            </a:ext>
          </a:extLst>
        </xdr:cNvPr>
        <xdr:cNvSpPr>
          <a:spLocks noChangeShapeType="1"/>
        </xdr:cNvSpPr>
      </xdr:nvSpPr>
      <xdr:spPr bwMode="auto">
        <a:xfrm flipV="1">
          <a:off x="5219700" y="5905500"/>
          <a:ext cx="314325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228600</xdr:colOff>
      <xdr:row>17</xdr:row>
      <xdr:rowOff>9525</xdr:rowOff>
    </xdr:from>
    <xdr:to>
      <xdr:col>13</xdr:col>
      <xdr:colOff>123825</xdr:colOff>
      <xdr:row>17</xdr:row>
      <xdr:rowOff>228600</xdr:rowOff>
    </xdr:to>
    <xdr:sp macro="" textlink="">
      <xdr:nvSpPr>
        <xdr:cNvPr id="8" name="Oval 141">
          <a:extLst>
            <a:ext uri="{FF2B5EF4-FFF2-40B4-BE49-F238E27FC236}">
              <a16:creationId xmlns:a16="http://schemas.microsoft.com/office/drawing/2014/main" id="{147D5B9C-F015-42C8-AA9B-9E7AA9D796F2}"/>
            </a:ext>
          </a:extLst>
        </xdr:cNvPr>
        <xdr:cNvSpPr>
          <a:spLocks noChangeArrowheads="1"/>
        </xdr:cNvSpPr>
      </xdr:nvSpPr>
      <xdr:spPr bwMode="auto">
        <a:xfrm>
          <a:off x="2933700" y="3943350"/>
          <a:ext cx="219075" cy="2190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  <a:endParaRPr lang="de-DE"/>
        </a:p>
      </xdr:txBody>
    </xdr:sp>
    <xdr:clientData/>
  </xdr:twoCellAnchor>
  <xdr:twoCellAnchor editAs="oneCell">
    <xdr:from>
      <xdr:col>12</xdr:col>
      <xdr:colOff>238125</xdr:colOff>
      <xdr:row>18</xdr:row>
      <xdr:rowOff>9525</xdr:rowOff>
    </xdr:from>
    <xdr:to>
      <xdr:col>13</xdr:col>
      <xdr:colOff>133350</xdr:colOff>
      <xdr:row>18</xdr:row>
      <xdr:rowOff>228600</xdr:rowOff>
    </xdr:to>
    <xdr:sp macro="" textlink="">
      <xdr:nvSpPr>
        <xdr:cNvPr id="9" name="Oval 143">
          <a:extLst>
            <a:ext uri="{FF2B5EF4-FFF2-40B4-BE49-F238E27FC236}">
              <a16:creationId xmlns:a16="http://schemas.microsoft.com/office/drawing/2014/main" id="{227800DB-7D69-48CD-96DD-D61A5F309D09}"/>
            </a:ext>
          </a:extLst>
        </xdr:cNvPr>
        <xdr:cNvSpPr>
          <a:spLocks noChangeArrowheads="1"/>
        </xdr:cNvSpPr>
      </xdr:nvSpPr>
      <xdr:spPr bwMode="auto">
        <a:xfrm>
          <a:off x="2943225" y="4191000"/>
          <a:ext cx="219075" cy="2190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K</a:t>
          </a:r>
          <a:endParaRPr lang="de-DE"/>
        </a:p>
      </xdr:txBody>
    </xdr:sp>
    <xdr:clientData/>
  </xdr:twoCellAnchor>
  <xdr:twoCellAnchor editAs="oneCell">
    <xdr:from>
      <xdr:col>14</xdr:col>
      <xdr:colOff>38100</xdr:colOff>
      <xdr:row>18</xdr:row>
      <xdr:rowOff>9525</xdr:rowOff>
    </xdr:from>
    <xdr:to>
      <xdr:col>15</xdr:col>
      <xdr:colOff>38100</xdr:colOff>
      <xdr:row>18</xdr:row>
      <xdr:rowOff>228600</xdr:rowOff>
    </xdr:to>
    <xdr:sp macro="" textlink="">
      <xdr:nvSpPr>
        <xdr:cNvPr id="10" name="Oval 143">
          <a:extLst>
            <a:ext uri="{FF2B5EF4-FFF2-40B4-BE49-F238E27FC236}">
              <a16:creationId xmlns:a16="http://schemas.microsoft.com/office/drawing/2014/main" id="{A2DA893C-4207-4FA3-8F90-86762AB14A5B}"/>
            </a:ext>
          </a:extLst>
        </xdr:cNvPr>
        <xdr:cNvSpPr>
          <a:spLocks noChangeArrowheads="1"/>
        </xdr:cNvSpPr>
      </xdr:nvSpPr>
      <xdr:spPr bwMode="auto">
        <a:xfrm>
          <a:off x="3286125" y="4191000"/>
          <a:ext cx="219075" cy="2190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</a:t>
          </a:r>
          <a:endParaRPr lang="de-DE"/>
        </a:p>
      </xdr:txBody>
    </xdr:sp>
    <xdr:clientData/>
  </xdr:twoCellAnchor>
  <xdr:twoCellAnchor editAs="oneCell">
    <xdr:from>
      <xdr:col>17</xdr:col>
      <xdr:colOff>9525</xdr:colOff>
      <xdr:row>18</xdr:row>
      <xdr:rowOff>19050</xdr:rowOff>
    </xdr:from>
    <xdr:to>
      <xdr:col>17</xdr:col>
      <xdr:colOff>228600</xdr:colOff>
      <xdr:row>18</xdr:row>
      <xdr:rowOff>238125</xdr:rowOff>
    </xdr:to>
    <xdr:sp macro="" textlink="">
      <xdr:nvSpPr>
        <xdr:cNvPr id="11" name="Oval 143">
          <a:extLst>
            <a:ext uri="{FF2B5EF4-FFF2-40B4-BE49-F238E27FC236}">
              <a16:creationId xmlns:a16="http://schemas.microsoft.com/office/drawing/2014/main" id="{1455E222-1FB5-45AC-8289-E60F25415F08}"/>
            </a:ext>
          </a:extLst>
        </xdr:cNvPr>
        <xdr:cNvSpPr>
          <a:spLocks noChangeArrowheads="1"/>
        </xdr:cNvSpPr>
      </xdr:nvSpPr>
      <xdr:spPr bwMode="auto">
        <a:xfrm>
          <a:off x="3962400" y="4200525"/>
          <a:ext cx="219075" cy="2190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LL</a:t>
          </a:r>
          <a:endParaRPr lang="de-DE" sz="600"/>
        </a:p>
      </xdr:txBody>
    </xdr:sp>
    <xdr:clientData/>
  </xdr:twoCellAnchor>
  <xdr:twoCellAnchor>
    <xdr:from>
      <xdr:col>21</xdr:col>
      <xdr:colOff>123825</xdr:colOff>
      <xdr:row>30</xdr:row>
      <xdr:rowOff>123825</xdr:rowOff>
    </xdr:from>
    <xdr:to>
      <xdr:col>21</xdr:col>
      <xdr:colOff>438150</xdr:colOff>
      <xdr:row>31</xdr:row>
      <xdr:rowOff>133350</xdr:rowOff>
    </xdr:to>
    <xdr:sp macro="" textlink="">
      <xdr:nvSpPr>
        <xdr:cNvPr id="12" name="Line 148">
          <a:extLst>
            <a:ext uri="{FF2B5EF4-FFF2-40B4-BE49-F238E27FC236}">
              <a16:creationId xmlns:a16="http://schemas.microsoft.com/office/drawing/2014/main" id="{73DA6753-4D0C-4DB7-BDF5-4986B269CEF8}"/>
            </a:ext>
          </a:extLst>
        </xdr:cNvPr>
        <xdr:cNvSpPr>
          <a:spLocks noChangeShapeType="1"/>
        </xdr:cNvSpPr>
      </xdr:nvSpPr>
      <xdr:spPr bwMode="auto">
        <a:xfrm flipV="1">
          <a:off x="5114925" y="7267575"/>
          <a:ext cx="314325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123825</xdr:colOff>
      <xdr:row>32</xdr:row>
      <xdr:rowOff>9525</xdr:rowOff>
    </xdr:from>
    <xdr:to>
      <xdr:col>21</xdr:col>
      <xdr:colOff>438150</xdr:colOff>
      <xdr:row>33</xdr:row>
      <xdr:rowOff>28575</xdr:rowOff>
    </xdr:to>
    <xdr:sp macro="" textlink="">
      <xdr:nvSpPr>
        <xdr:cNvPr id="13" name="Line 148">
          <a:extLst>
            <a:ext uri="{FF2B5EF4-FFF2-40B4-BE49-F238E27FC236}">
              <a16:creationId xmlns:a16="http://schemas.microsoft.com/office/drawing/2014/main" id="{F01D5994-8D46-4002-9E5B-9E4954CB6498}"/>
            </a:ext>
          </a:extLst>
        </xdr:cNvPr>
        <xdr:cNvSpPr>
          <a:spLocks noChangeShapeType="1"/>
        </xdr:cNvSpPr>
      </xdr:nvSpPr>
      <xdr:spPr bwMode="auto">
        <a:xfrm flipV="1">
          <a:off x="5114925" y="7648575"/>
          <a:ext cx="314325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114300</xdr:colOff>
      <xdr:row>33</xdr:row>
      <xdr:rowOff>9525</xdr:rowOff>
    </xdr:from>
    <xdr:to>
      <xdr:col>21</xdr:col>
      <xdr:colOff>428625</xdr:colOff>
      <xdr:row>34</xdr:row>
      <xdr:rowOff>19050</xdr:rowOff>
    </xdr:to>
    <xdr:sp macro="" textlink="">
      <xdr:nvSpPr>
        <xdr:cNvPr id="14" name="Line 148">
          <a:extLst>
            <a:ext uri="{FF2B5EF4-FFF2-40B4-BE49-F238E27FC236}">
              <a16:creationId xmlns:a16="http://schemas.microsoft.com/office/drawing/2014/main" id="{4CAE6116-FC41-4023-B1EA-8E54065BFBE4}"/>
            </a:ext>
          </a:extLst>
        </xdr:cNvPr>
        <xdr:cNvSpPr>
          <a:spLocks noChangeShapeType="1"/>
        </xdr:cNvSpPr>
      </xdr:nvSpPr>
      <xdr:spPr bwMode="auto">
        <a:xfrm flipV="1">
          <a:off x="5105400" y="7886700"/>
          <a:ext cx="314325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33</xdr:row>
      <xdr:rowOff>238125</xdr:rowOff>
    </xdr:from>
    <xdr:to>
      <xdr:col>21</xdr:col>
      <xdr:colOff>457200</xdr:colOff>
      <xdr:row>35</xdr:row>
      <xdr:rowOff>0</xdr:rowOff>
    </xdr:to>
    <xdr:sp macro="" textlink="">
      <xdr:nvSpPr>
        <xdr:cNvPr id="15" name="Line 148">
          <a:extLst>
            <a:ext uri="{FF2B5EF4-FFF2-40B4-BE49-F238E27FC236}">
              <a16:creationId xmlns:a16="http://schemas.microsoft.com/office/drawing/2014/main" id="{175FAEFF-3084-44E6-AC78-20EFD25E7FC5}"/>
            </a:ext>
          </a:extLst>
        </xdr:cNvPr>
        <xdr:cNvSpPr>
          <a:spLocks noChangeShapeType="1"/>
        </xdr:cNvSpPr>
      </xdr:nvSpPr>
      <xdr:spPr bwMode="auto">
        <a:xfrm flipV="1">
          <a:off x="5133975" y="8115300"/>
          <a:ext cx="314325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34</xdr:row>
      <xdr:rowOff>238125</xdr:rowOff>
    </xdr:from>
    <xdr:to>
      <xdr:col>21</xdr:col>
      <xdr:colOff>457200</xdr:colOff>
      <xdr:row>36</xdr:row>
      <xdr:rowOff>0</xdr:rowOff>
    </xdr:to>
    <xdr:sp macro="" textlink="">
      <xdr:nvSpPr>
        <xdr:cNvPr id="16" name="Line 148">
          <a:extLst>
            <a:ext uri="{FF2B5EF4-FFF2-40B4-BE49-F238E27FC236}">
              <a16:creationId xmlns:a16="http://schemas.microsoft.com/office/drawing/2014/main" id="{D26C9678-0405-4E19-890B-B843C6F3585D}"/>
            </a:ext>
          </a:extLst>
        </xdr:cNvPr>
        <xdr:cNvSpPr>
          <a:spLocks noChangeShapeType="1"/>
        </xdr:cNvSpPr>
      </xdr:nvSpPr>
      <xdr:spPr bwMode="auto">
        <a:xfrm flipV="1">
          <a:off x="5133975" y="8362950"/>
          <a:ext cx="314325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161925</xdr:colOff>
      <xdr:row>36</xdr:row>
      <xdr:rowOff>0</xdr:rowOff>
    </xdr:from>
    <xdr:to>
      <xdr:col>21</xdr:col>
      <xdr:colOff>476250</xdr:colOff>
      <xdr:row>37</xdr:row>
      <xdr:rowOff>9525</xdr:rowOff>
    </xdr:to>
    <xdr:sp macro="" textlink="">
      <xdr:nvSpPr>
        <xdr:cNvPr id="17" name="Line 148">
          <a:extLst>
            <a:ext uri="{FF2B5EF4-FFF2-40B4-BE49-F238E27FC236}">
              <a16:creationId xmlns:a16="http://schemas.microsoft.com/office/drawing/2014/main" id="{11780A38-3B88-43B2-953C-DD66ADC21D9A}"/>
            </a:ext>
          </a:extLst>
        </xdr:cNvPr>
        <xdr:cNvSpPr>
          <a:spLocks noChangeShapeType="1"/>
        </xdr:cNvSpPr>
      </xdr:nvSpPr>
      <xdr:spPr bwMode="auto">
        <a:xfrm flipV="1">
          <a:off x="5153025" y="8620125"/>
          <a:ext cx="314325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123825</xdr:colOff>
      <xdr:row>37</xdr:row>
      <xdr:rowOff>0</xdr:rowOff>
    </xdr:from>
    <xdr:to>
      <xdr:col>21</xdr:col>
      <xdr:colOff>438150</xdr:colOff>
      <xdr:row>38</xdr:row>
      <xdr:rowOff>9525</xdr:rowOff>
    </xdr:to>
    <xdr:sp macro="" textlink="">
      <xdr:nvSpPr>
        <xdr:cNvPr id="18" name="Line 148">
          <a:extLst>
            <a:ext uri="{FF2B5EF4-FFF2-40B4-BE49-F238E27FC236}">
              <a16:creationId xmlns:a16="http://schemas.microsoft.com/office/drawing/2014/main" id="{D4E1EA0F-B399-4F7D-AEEB-D6FE9AF0627B}"/>
            </a:ext>
          </a:extLst>
        </xdr:cNvPr>
        <xdr:cNvSpPr>
          <a:spLocks noChangeShapeType="1"/>
        </xdr:cNvSpPr>
      </xdr:nvSpPr>
      <xdr:spPr bwMode="auto">
        <a:xfrm flipV="1">
          <a:off x="5114925" y="8867775"/>
          <a:ext cx="314325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47625</xdr:colOff>
      <xdr:row>24</xdr:row>
      <xdr:rowOff>76200</xdr:rowOff>
    </xdr:from>
    <xdr:to>
      <xdr:col>22</xdr:col>
      <xdr:colOff>628650</xdr:colOff>
      <xdr:row>41</xdr:row>
      <xdr:rowOff>161925</xdr:rowOff>
    </xdr:to>
    <xdr:sp macro="" textlink="">
      <xdr:nvSpPr>
        <xdr:cNvPr id="19" name="AutoShape 139">
          <a:extLst>
            <a:ext uri="{FF2B5EF4-FFF2-40B4-BE49-F238E27FC236}">
              <a16:creationId xmlns:a16="http://schemas.microsoft.com/office/drawing/2014/main" id="{37B1A3CC-B2BE-45A7-AF56-B0D9270B1EED}"/>
            </a:ext>
          </a:extLst>
        </xdr:cNvPr>
        <xdr:cNvSpPr>
          <a:spLocks/>
        </xdr:cNvSpPr>
      </xdr:nvSpPr>
      <xdr:spPr bwMode="auto">
        <a:xfrm>
          <a:off x="5753100" y="5734050"/>
          <a:ext cx="581025" cy="4286250"/>
        </a:xfrm>
        <a:prstGeom prst="rightBrace">
          <a:avLst>
            <a:gd name="adj1" fmla="val 61475"/>
            <a:gd name="adj2" fmla="val 50106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19</xdr:col>
      <xdr:colOff>29886</xdr:colOff>
      <xdr:row>33</xdr:row>
      <xdr:rowOff>25294</xdr:rowOff>
    </xdr:from>
    <xdr:ext cx="198714" cy="212831"/>
    <xdr:sp macro="" textlink="">
      <xdr:nvSpPr>
        <xdr:cNvPr id="20" name="Rectangle 144">
          <a:extLst>
            <a:ext uri="{FF2B5EF4-FFF2-40B4-BE49-F238E27FC236}">
              <a16:creationId xmlns:a16="http://schemas.microsoft.com/office/drawing/2014/main" id="{4AE222E9-50A7-4B4B-BBD0-C1BE9B96E44A}"/>
            </a:ext>
          </a:extLst>
        </xdr:cNvPr>
        <xdr:cNvSpPr>
          <a:spLocks noChangeArrowheads="1"/>
        </xdr:cNvSpPr>
      </xdr:nvSpPr>
      <xdr:spPr bwMode="auto">
        <a:xfrm>
          <a:off x="4506636" y="7902469"/>
          <a:ext cx="198714" cy="21283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18288" tIns="27432" rIns="18288" bIns="27432" anchor="ctr" upright="1">
          <a:noAutofit/>
        </a:bodyPr>
        <a:lstStyle/>
        <a:p>
          <a:pPr algn="ctr" rtl="0">
            <a:defRPr sz="1000"/>
          </a:pPr>
          <a:r>
            <a:rPr lang="de-DE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ee</a:t>
          </a:r>
          <a:endParaRPr lang="de-DE"/>
        </a:p>
      </xdr:txBody>
    </xdr:sp>
    <xdr:clientData/>
  </xdr:oneCellAnchor>
  <xdr:twoCellAnchor>
    <xdr:from>
      <xdr:col>4</xdr:col>
      <xdr:colOff>0</xdr:colOff>
      <xdr:row>29</xdr:row>
      <xdr:rowOff>238125</xdr:rowOff>
    </xdr:from>
    <xdr:to>
      <xdr:col>22</xdr:col>
      <xdr:colOff>9525</xdr:colOff>
      <xdr:row>38</xdr:row>
      <xdr:rowOff>0</xdr:rowOff>
    </xdr:to>
    <xdr:sp macro="" textlink="">
      <xdr:nvSpPr>
        <xdr:cNvPr id="21" name="Line 146">
          <a:extLst>
            <a:ext uri="{FF2B5EF4-FFF2-40B4-BE49-F238E27FC236}">
              <a16:creationId xmlns:a16="http://schemas.microsoft.com/office/drawing/2014/main" id="{1C3D5F18-427C-4479-9F2F-EDD1EABA2C79}"/>
            </a:ext>
          </a:extLst>
        </xdr:cNvPr>
        <xdr:cNvSpPr>
          <a:spLocks noChangeShapeType="1"/>
        </xdr:cNvSpPr>
      </xdr:nvSpPr>
      <xdr:spPr bwMode="auto">
        <a:xfrm flipV="1">
          <a:off x="885825" y="7134225"/>
          <a:ext cx="4829175" cy="1981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200025</xdr:colOff>
      <xdr:row>38</xdr:row>
      <xdr:rowOff>171450</xdr:rowOff>
    </xdr:from>
    <xdr:to>
      <xdr:col>21</xdr:col>
      <xdr:colOff>257175</xdr:colOff>
      <xdr:row>39</xdr:row>
      <xdr:rowOff>114300</xdr:rowOff>
    </xdr:to>
    <xdr:sp macro="" textlink="">
      <xdr:nvSpPr>
        <xdr:cNvPr id="22" name="Line 148">
          <a:extLst>
            <a:ext uri="{FF2B5EF4-FFF2-40B4-BE49-F238E27FC236}">
              <a16:creationId xmlns:a16="http://schemas.microsoft.com/office/drawing/2014/main" id="{A9410B2F-5286-49C1-BCDC-FC2D8572C40A}"/>
            </a:ext>
          </a:extLst>
        </xdr:cNvPr>
        <xdr:cNvSpPr>
          <a:spLocks noChangeShapeType="1"/>
        </xdr:cNvSpPr>
      </xdr:nvSpPr>
      <xdr:spPr bwMode="auto">
        <a:xfrm flipV="1">
          <a:off x="4933950" y="9286875"/>
          <a:ext cx="31432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285750</xdr:colOff>
      <xdr:row>40</xdr:row>
      <xdr:rowOff>142875</xdr:rowOff>
    </xdr:from>
    <xdr:to>
      <xdr:col>21</xdr:col>
      <xdr:colOff>628650</xdr:colOff>
      <xdr:row>41</xdr:row>
      <xdr:rowOff>95250</xdr:rowOff>
    </xdr:to>
    <xdr:sp macro="" textlink="">
      <xdr:nvSpPr>
        <xdr:cNvPr id="23" name="Line 149">
          <a:extLst>
            <a:ext uri="{FF2B5EF4-FFF2-40B4-BE49-F238E27FC236}">
              <a16:creationId xmlns:a16="http://schemas.microsoft.com/office/drawing/2014/main" id="{63EAB74B-F8B7-40D7-947E-C3CA7E00ED95}"/>
            </a:ext>
          </a:extLst>
        </xdr:cNvPr>
        <xdr:cNvSpPr>
          <a:spLocks noChangeShapeType="1"/>
        </xdr:cNvSpPr>
      </xdr:nvSpPr>
      <xdr:spPr bwMode="auto">
        <a:xfrm flipV="1">
          <a:off x="5276850" y="9753600"/>
          <a:ext cx="3429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228600</xdr:colOff>
      <xdr:row>25</xdr:row>
      <xdr:rowOff>0</xdr:rowOff>
    </xdr:from>
    <xdr:to>
      <xdr:col>21</xdr:col>
      <xdr:colOff>542925</xdr:colOff>
      <xdr:row>26</xdr:row>
      <xdr:rowOff>9525</xdr:rowOff>
    </xdr:to>
    <xdr:sp macro="" textlink="">
      <xdr:nvSpPr>
        <xdr:cNvPr id="24" name="Line 148">
          <a:extLst>
            <a:ext uri="{FF2B5EF4-FFF2-40B4-BE49-F238E27FC236}">
              <a16:creationId xmlns:a16="http://schemas.microsoft.com/office/drawing/2014/main" id="{A8833592-6DD6-4A98-BA79-00161F6AA053}"/>
            </a:ext>
          </a:extLst>
        </xdr:cNvPr>
        <xdr:cNvSpPr>
          <a:spLocks noChangeShapeType="1"/>
        </xdr:cNvSpPr>
      </xdr:nvSpPr>
      <xdr:spPr bwMode="auto">
        <a:xfrm flipV="1">
          <a:off x="5219700" y="5905500"/>
          <a:ext cx="314325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228600</xdr:colOff>
      <xdr:row>17</xdr:row>
      <xdr:rowOff>9525</xdr:rowOff>
    </xdr:from>
    <xdr:to>
      <xdr:col>13</xdr:col>
      <xdr:colOff>123825</xdr:colOff>
      <xdr:row>17</xdr:row>
      <xdr:rowOff>228600</xdr:rowOff>
    </xdr:to>
    <xdr:sp macro="" textlink="">
      <xdr:nvSpPr>
        <xdr:cNvPr id="25" name="Oval 141">
          <a:extLst>
            <a:ext uri="{FF2B5EF4-FFF2-40B4-BE49-F238E27FC236}">
              <a16:creationId xmlns:a16="http://schemas.microsoft.com/office/drawing/2014/main" id="{147D5B9C-F015-42C8-AA9B-9E7AA9D796F2}"/>
            </a:ext>
          </a:extLst>
        </xdr:cNvPr>
        <xdr:cNvSpPr>
          <a:spLocks noChangeArrowheads="1"/>
        </xdr:cNvSpPr>
      </xdr:nvSpPr>
      <xdr:spPr bwMode="auto">
        <a:xfrm>
          <a:off x="2933700" y="3943350"/>
          <a:ext cx="219075" cy="2190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  <a:endParaRPr lang="de-DE"/>
        </a:p>
      </xdr:txBody>
    </xdr:sp>
    <xdr:clientData/>
  </xdr:twoCellAnchor>
  <xdr:twoCellAnchor editAs="oneCell">
    <xdr:from>
      <xdr:col>12</xdr:col>
      <xdr:colOff>238125</xdr:colOff>
      <xdr:row>18</xdr:row>
      <xdr:rowOff>9525</xdr:rowOff>
    </xdr:from>
    <xdr:to>
      <xdr:col>13</xdr:col>
      <xdr:colOff>133350</xdr:colOff>
      <xdr:row>18</xdr:row>
      <xdr:rowOff>228600</xdr:rowOff>
    </xdr:to>
    <xdr:sp macro="" textlink="">
      <xdr:nvSpPr>
        <xdr:cNvPr id="26" name="Oval 143">
          <a:extLst>
            <a:ext uri="{FF2B5EF4-FFF2-40B4-BE49-F238E27FC236}">
              <a16:creationId xmlns:a16="http://schemas.microsoft.com/office/drawing/2014/main" id="{227800DB-7D69-48CD-96DD-D61A5F309D09}"/>
            </a:ext>
          </a:extLst>
        </xdr:cNvPr>
        <xdr:cNvSpPr>
          <a:spLocks noChangeArrowheads="1"/>
        </xdr:cNvSpPr>
      </xdr:nvSpPr>
      <xdr:spPr bwMode="auto">
        <a:xfrm>
          <a:off x="2943225" y="4191000"/>
          <a:ext cx="219075" cy="2190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K</a:t>
          </a:r>
          <a:endParaRPr lang="de-DE"/>
        </a:p>
      </xdr:txBody>
    </xdr:sp>
    <xdr:clientData/>
  </xdr:twoCellAnchor>
  <xdr:twoCellAnchor editAs="oneCell">
    <xdr:from>
      <xdr:col>14</xdr:col>
      <xdr:colOff>38100</xdr:colOff>
      <xdr:row>18</xdr:row>
      <xdr:rowOff>9525</xdr:rowOff>
    </xdr:from>
    <xdr:to>
      <xdr:col>15</xdr:col>
      <xdr:colOff>38100</xdr:colOff>
      <xdr:row>18</xdr:row>
      <xdr:rowOff>228600</xdr:rowOff>
    </xdr:to>
    <xdr:sp macro="" textlink="">
      <xdr:nvSpPr>
        <xdr:cNvPr id="27" name="Oval 143">
          <a:extLst>
            <a:ext uri="{FF2B5EF4-FFF2-40B4-BE49-F238E27FC236}">
              <a16:creationId xmlns:a16="http://schemas.microsoft.com/office/drawing/2014/main" id="{A2DA893C-4207-4FA3-8F90-86762AB14A5B}"/>
            </a:ext>
          </a:extLst>
        </xdr:cNvPr>
        <xdr:cNvSpPr>
          <a:spLocks noChangeArrowheads="1"/>
        </xdr:cNvSpPr>
      </xdr:nvSpPr>
      <xdr:spPr bwMode="auto">
        <a:xfrm>
          <a:off x="3286125" y="4191000"/>
          <a:ext cx="219075" cy="2190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</a:t>
          </a:r>
          <a:endParaRPr lang="de-DE"/>
        </a:p>
      </xdr:txBody>
    </xdr:sp>
    <xdr:clientData/>
  </xdr:twoCellAnchor>
  <xdr:twoCellAnchor editAs="oneCell">
    <xdr:from>
      <xdr:col>17</xdr:col>
      <xdr:colOff>9525</xdr:colOff>
      <xdr:row>18</xdr:row>
      <xdr:rowOff>19050</xdr:rowOff>
    </xdr:from>
    <xdr:to>
      <xdr:col>17</xdr:col>
      <xdr:colOff>228600</xdr:colOff>
      <xdr:row>18</xdr:row>
      <xdr:rowOff>238125</xdr:rowOff>
    </xdr:to>
    <xdr:sp macro="" textlink="">
      <xdr:nvSpPr>
        <xdr:cNvPr id="28" name="Oval 143">
          <a:extLst>
            <a:ext uri="{FF2B5EF4-FFF2-40B4-BE49-F238E27FC236}">
              <a16:creationId xmlns:a16="http://schemas.microsoft.com/office/drawing/2014/main" id="{1455E222-1FB5-45AC-8289-E60F25415F08}"/>
            </a:ext>
          </a:extLst>
        </xdr:cNvPr>
        <xdr:cNvSpPr>
          <a:spLocks noChangeArrowheads="1"/>
        </xdr:cNvSpPr>
      </xdr:nvSpPr>
      <xdr:spPr bwMode="auto">
        <a:xfrm>
          <a:off x="3962400" y="4200525"/>
          <a:ext cx="219075" cy="2190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LL</a:t>
          </a:r>
          <a:endParaRPr lang="de-DE" sz="600"/>
        </a:p>
      </xdr:txBody>
    </xdr:sp>
    <xdr:clientData/>
  </xdr:twoCellAnchor>
  <xdr:twoCellAnchor>
    <xdr:from>
      <xdr:col>21</xdr:col>
      <xdr:colOff>123825</xdr:colOff>
      <xdr:row>30</xdr:row>
      <xdr:rowOff>123825</xdr:rowOff>
    </xdr:from>
    <xdr:to>
      <xdr:col>21</xdr:col>
      <xdr:colOff>438150</xdr:colOff>
      <xdr:row>31</xdr:row>
      <xdr:rowOff>133350</xdr:rowOff>
    </xdr:to>
    <xdr:sp macro="" textlink="">
      <xdr:nvSpPr>
        <xdr:cNvPr id="29" name="Line 148">
          <a:extLst>
            <a:ext uri="{FF2B5EF4-FFF2-40B4-BE49-F238E27FC236}">
              <a16:creationId xmlns:a16="http://schemas.microsoft.com/office/drawing/2014/main" id="{73DA6753-4D0C-4DB7-BDF5-4986B269CEF8}"/>
            </a:ext>
          </a:extLst>
        </xdr:cNvPr>
        <xdr:cNvSpPr>
          <a:spLocks noChangeShapeType="1"/>
        </xdr:cNvSpPr>
      </xdr:nvSpPr>
      <xdr:spPr bwMode="auto">
        <a:xfrm flipV="1">
          <a:off x="5114925" y="7267575"/>
          <a:ext cx="314325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123825</xdr:colOff>
      <xdr:row>32</xdr:row>
      <xdr:rowOff>9525</xdr:rowOff>
    </xdr:from>
    <xdr:to>
      <xdr:col>21</xdr:col>
      <xdr:colOff>438150</xdr:colOff>
      <xdr:row>33</xdr:row>
      <xdr:rowOff>28575</xdr:rowOff>
    </xdr:to>
    <xdr:sp macro="" textlink="">
      <xdr:nvSpPr>
        <xdr:cNvPr id="30" name="Line 148">
          <a:extLst>
            <a:ext uri="{FF2B5EF4-FFF2-40B4-BE49-F238E27FC236}">
              <a16:creationId xmlns:a16="http://schemas.microsoft.com/office/drawing/2014/main" id="{F01D5994-8D46-4002-9E5B-9E4954CB6498}"/>
            </a:ext>
          </a:extLst>
        </xdr:cNvPr>
        <xdr:cNvSpPr>
          <a:spLocks noChangeShapeType="1"/>
        </xdr:cNvSpPr>
      </xdr:nvSpPr>
      <xdr:spPr bwMode="auto">
        <a:xfrm flipV="1">
          <a:off x="5114925" y="7648575"/>
          <a:ext cx="314325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114300</xdr:colOff>
      <xdr:row>33</xdr:row>
      <xdr:rowOff>9525</xdr:rowOff>
    </xdr:from>
    <xdr:to>
      <xdr:col>21</xdr:col>
      <xdr:colOff>428625</xdr:colOff>
      <xdr:row>34</xdr:row>
      <xdr:rowOff>19050</xdr:rowOff>
    </xdr:to>
    <xdr:sp macro="" textlink="">
      <xdr:nvSpPr>
        <xdr:cNvPr id="31" name="Line 148">
          <a:extLst>
            <a:ext uri="{FF2B5EF4-FFF2-40B4-BE49-F238E27FC236}">
              <a16:creationId xmlns:a16="http://schemas.microsoft.com/office/drawing/2014/main" id="{4CAE6116-FC41-4023-B1EA-8E54065BFBE4}"/>
            </a:ext>
          </a:extLst>
        </xdr:cNvPr>
        <xdr:cNvSpPr>
          <a:spLocks noChangeShapeType="1"/>
        </xdr:cNvSpPr>
      </xdr:nvSpPr>
      <xdr:spPr bwMode="auto">
        <a:xfrm flipV="1">
          <a:off x="5105400" y="7886700"/>
          <a:ext cx="314325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33</xdr:row>
      <xdr:rowOff>238125</xdr:rowOff>
    </xdr:from>
    <xdr:to>
      <xdr:col>21</xdr:col>
      <xdr:colOff>457200</xdr:colOff>
      <xdr:row>35</xdr:row>
      <xdr:rowOff>0</xdr:rowOff>
    </xdr:to>
    <xdr:sp macro="" textlink="">
      <xdr:nvSpPr>
        <xdr:cNvPr id="32" name="Line 148">
          <a:extLst>
            <a:ext uri="{FF2B5EF4-FFF2-40B4-BE49-F238E27FC236}">
              <a16:creationId xmlns:a16="http://schemas.microsoft.com/office/drawing/2014/main" id="{175FAEFF-3084-44E6-AC78-20EFD25E7FC5}"/>
            </a:ext>
          </a:extLst>
        </xdr:cNvPr>
        <xdr:cNvSpPr>
          <a:spLocks noChangeShapeType="1"/>
        </xdr:cNvSpPr>
      </xdr:nvSpPr>
      <xdr:spPr bwMode="auto">
        <a:xfrm flipV="1">
          <a:off x="5133975" y="8115300"/>
          <a:ext cx="314325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34</xdr:row>
      <xdr:rowOff>238125</xdr:rowOff>
    </xdr:from>
    <xdr:to>
      <xdr:col>21</xdr:col>
      <xdr:colOff>457200</xdr:colOff>
      <xdr:row>36</xdr:row>
      <xdr:rowOff>0</xdr:rowOff>
    </xdr:to>
    <xdr:sp macro="" textlink="">
      <xdr:nvSpPr>
        <xdr:cNvPr id="33" name="Line 148">
          <a:extLst>
            <a:ext uri="{FF2B5EF4-FFF2-40B4-BE49-F238E27FC236}">
              <a16:creationId xmlns:a16="http://schemas.microsoft.com/office/drawing/2014/main" id="{D26C9678-0405-4E19-890B-B843C6F3585D}"/>
            </a:ext>
          </a:extLst>
        </xdr:cNvPr>
        <xdr:cNvSpPr>
          <a:spLocks noChangeShapeType="1"/>
        </xdr:cNvSpPr>
      </xdr:nvSpPr>
      <xdr:spPr bwMode="auto">
        <a:xfrm flipV="1">
          <a:off x="5133975" y="8362950"/>
          <a:ext cx="314325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161925</xdr:colOff>
      <xdr:row>36</xdr:row>
      <xdr:rowOff>0</xdr:rowOff>
    </xdr:from>
    <xdr:to>
      <xdr:col>21</xdr:col>
      <xdr:colOff>476250</xdr:colOff>
      <xdr:row>37</xdr:row>
      <xdr:rowOff>9525</xdr:rowOff>
    </xdr:to>
    <xdr:sp macro="" textlink="">
      <xdr:nvSpPr>
        <xdr:cNvPr id="34" name="Line 148">
          <a:extLst>
            <a:ext uri="{FF2B5EF4-FFF2-40B4-BE49-F238E27FC236}">
              <a16:creationId xmlns:a16="http://schemas.microsoft.com/office/drawing/2014/main" id="{11780A38-3B88-43B2-953C-DD66ADC21D9A}"/>
            </a:ext>
          </a:extLst>
        </xdr:cNvPr>
        <xdr:cNvSpPr>
          <a:spLocks noChangeShapeType="1"/>
        </xdr:cNvSpPr>
      </xdr:nvSpPr>
      <xdr:spPr bwMode="auto">
        <a:xfrm flipV="1">
          <a:off x="5153025" y="8620125"/>
          <a:ext cx="314325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123825</xdr:colOff>
      <xdr:row>37</xdr:row>
      <xdr:rowOff>0</xdr:rowOff>
    </xdr:from>
    <xdr:to>
      <xdr:col>21</xdr:col>
      <xdr:colOff>438150</xdr:colOff>
      <xdr:row>38</xdr:row>
      <xdr:rowOff>9525</xdr:rowOff>
    </xdr:to>
    <xdr:sp macro="" textlink="">
      <xdr:nvSpPr>
        <xdr:cNvPr id="35" name="Line 148">
          <a:extLst>
            <a:ext uri="{FF2B5EF4-FFF2-40B4-BE49-F238E27FC236}">
              <a16:creationId xmlns:a16="http://schemas.microsoft.com/office/drawing/2014/main" id="{D4E1EA0F-B399-4F7D-AEEB-D6FE9AF0627B}"/>
            </a:ext>
          </a:extLst>
        </xdr:cNvPr>
        <xdr:cNvSpPr>
          <a:spLocks noChangeShapeType="1"/>
        </xdr:cNvSpPr>
      </xdr:nvSpPr>
      <xdr:spPr bwMode="auto">
        <a:xfrm flipV="1">
          <a:off x="5114925" y="8867775"/>
          <a:ext cx="314325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2</xdr:row>
      <xdr:rowOff>28575</xdr:rowOff>
    </xdr:from>
    <xdr:to>
      <xdr:col>9</xdr:col>
      <xdr:colOff>114300</xdr:colOff>
      <xdr:row>4</xdr:row>
      <xdr:rowOff>123050</xdr:rowOff>
    </xdr:to>
    <xdr:pic>
      <xdr:nvPicPr>
        <xdr:cNvPr id="3" name="Picture 3" descr="Gelsenlog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409575"/>
          <a:ext cx="1609725" cy="47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17</xdr:row>
          <xdr:rowOff>38100</xdr:rowOff>
        </xdr:from>
        <xdr:to>
          <xdr:col>5</xdr:col>
          <xdr:colOff>276225</xdr:colOff>
          <xdr:row>18</xdr:row>
          <xdr:rowOff>28575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17</xdr:row>
          <xdr:rowOff>47625</xdr:rowOff>
        </xdr:from>
        <xdr:to>
          <xdr:col>2</xdr:col>
          <xdr:colOff>123825</xdr:colOff>
          <xdr:row>18</xdr:row>
          <xdr:rowOff>9525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4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17</xdr:row>
          <xdr:rowOff>19050</xdr:rowOff>
        </xdr:from>
        <xdr:to>
          <xdr:col>8</xdr:col>
          <xdr:colOff>295275</xdr:colOff>
          <xdr:row>18</xdr:row>
          <xdr:rowOff>9525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4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18</xdr:row>
          <xdr:rowOff>19050</xdr:rowOff>
        </xdr:from>
        <xdr:to>
          <xdr:col>5</xdr:col>
          <xdr:colOff>276225</xdr:colOff>
          <xdr:row>19</xdr:row>
          <xdr:rowOff>9525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18</xdr:row>
          <xdr:rowOff>47625</xdr:rowOff>
        </xdr:from>
        <xdr:to>
          <xdr:col>2</xdr:col>
          <xdr:colOff>123825</xdr:colOff>
          <xdr:row>19</xdr:row>
          <xdr:rowOff>9525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4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18</xdr:row>
          <xdr:rowOff>19050</xdr:rowOff>
        </xdr:from>
        <xdr:to>
          <xdr:col>8</xdr:col>
          <xdr:colOff>295275</xdr:colOff>
          <xdr:row>19</xdr:row>
          <xdr:rowOff>9525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4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19</xdr:row>
          <xdr:rowOff>19050</xdr:rowOff>
        </xdr:from>
        <xdr:to>
          <xdr:col>5</xdr:col>
          <xdr:colOff>266700</xdr:colOff>
          <xdr:row>20</xdr:row>
          <xdr:rowOff>19050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4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19</xdr:row>
          <xdr:rowOff>47625</xdr:rowOff>
        </xdr:from>
        <xdr:to>
          <xdr:col>2</xdr:col>
          <xdr:colOff>123825</xdr:colOff>
          <xdr:row>20</xdr:row>
          <xdr:rowOff>19050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4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19</xdr:row>
          <xdr:rowOff>19050</xdr:rowOff>
        </xdr:from>
        <xdr:to>
          <xdr:col>8</xdr:col>
          <xdr:colOff>304800</xdr:colOff>
          <xdr:row>20</xdr:row>
          <xdr:rowOff>19050</xdr:rowOff>
        </xdr:to>
        <xdr:sp macro="" textlink="">
          <xdr:nvSpPr>
            <xdr:cNvPr id="5129" name="Check Box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4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20</xdr:row>
          <xdr:rowOff>19050</xdr:rowOff>
        </xdr:from>
        <xdr:to>
          <xdr:col>5</xdr:col>
          <xdr:colOff>266700</xdr:colOff>
          <xdr:row>21</xdr:row>
          <xdr:rowOff>19050</xdr:rowOff>
        </xdr:to>
        <xdr:sp macro="" textlink="">
          <xdr:nvSpPr>
            <xdr:cNvPr id="5130" name="Check Box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4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20</xdr:row>
          <xdr:rowOff>47625</xdr:rowOff>
        </xdr:from>
        <xdr:to>
          <xdr:col>2</xdr:col>
          <xdr:colOff>123825</xdr:colOff>
          <xdr:row>21</xdr:row>
          <xdr:rowOff>19050</xdr:rowOff>
        </xdr:to>
        <xdr:sp macro="" textlink="">
          <xdr:nvSpPr>
            <xdr:cNvPr id="5131" name="Check Box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4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20</xdr:row>
          <xdr:rowOff>19050</xdr:rowOff>
        </xdr:from>
        <xdr:to>
          <xdr:col>8</xdr:col>
          <xdr:colOff>304800</xdr:colOff>
          <xdr:row>21</xdr:row>
          <xdr:rowOff>19050</xdr:rowOff>
        </xdr:to>
        <xdr:sp macro="" textlink="">
          <xdr:nvSpPr>
            <xdr:cNvPr id="5132" name="Check Box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4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21</xdr:row>
          <xdr:rowOff>19050</xdr:rowOff>
        </xdr:from>
        <xdr:to>
          <xdr:col>5</xdr:col>
          <xdr:colOff>266700</xdr:colOff>
          <xdr:row>22</xdr:row>
          <xdr:rowOff>19050</xdr:rowOff>
        </xdr:to>
        <xdr:sp macro="" textlink="">
          <xdr:nvSpPr>
            <xdr:cNvPr id="5133" name="Check Box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4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21</xdr:row>
          <xdr:rowOff>47625</xdr:rowOff>
        </xdr:from>
        <xdr:to>
          <xdr:col>2</xdr:col>
          <xdr:colOff>123825</xdr:colOff>
          <xdr:row>22</xdr:row>
          <xdr:rowOff>19050</xdr:rowOff>
        </xdr:to>
        <xdr:sp macro="" textlink="">
          <xdr:nvSpPr>
            <xdr:cNvPr id="5134" name="Check Box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4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21</xdr:row>
          <xdr:rowOff>19050</xdr:rowOff>
        </xdr:from>
        <xdr:to>
          <xdr:col>8</xdr:col>
          <xdr:colOff>304800</xdr:colOff>
          <xdr:row>22</xdr:row>
          <xdr:rowOff>19050</xdr:rowOff>
        </xdr:to>
        <xdr:sp macro="" textlink="">
          <xdr:nvSpPr>
            <xdr:cNvPr id="5135" name="Check Box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4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22</xdr:row>
          <xdr:rowOff>19050</xdr:rowOff>
        </xdr:from>
        <xdr:to>
          <xdr:col>5</xdr:col>
          <xdr:colOff>266700</xdr:colOff>
          <xdr:row>23</xdr:row>
          <xdr:rowOff>19050</xdr:rowOff>
        </xdr:to>
        <xdr:sp macro="" textlink="">
          <xdr:nvSpPr>
            <xdr:cNvPr id="5136" name="Check Box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4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22</xdr:row>
          <xdr:rowOff>47625</xdr:rowOff>
        </xdr:from>
        <xdr:to>
          <xdr:col>2</xdr:col>
          <xdr:colOff>123825</xdr:colOff>
          <xdr:row>23</xdr:row>
          <xdr:rowOff>19050</xdr:rowOff>
        </xdr:to>
        <xdr:sp macro="" textlink="">
          <xdr:nvSpPr>
            <xdr:cNvPr id="5137" name="Check Box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4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22</xdr:row>
          <xdr:rowOff>19050</xdr:rowOff>
        </xdr:from>
        <xdr:to>
          <xdr:col>8</xdr:col>
          <xdr:colOff>304800</xdr:colOff>
          <xdr:row>23</xdr:row>
          <xdr:rowOff>19050</xdr:rowOff>
        </xdr:to>
        <xdr:sp macro="" textlink="">
          <xdr:nvSpPr>
            <xdr:cNvPr id="5138" name="Check Box 18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4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23</xdr:row>
          <xdr:rowOff>19050</xdr:rowOff>
        </xdr:from>
        <xdr:to>
          <xdr:col>5</xdr:col>
          <xdr:colOff>266700</xdr:colOff>
          <xdr:row>24</xdr:row>
          <xdr:rowOff>19050</xdr:rowOff>
        </xdr:to>
        <xdr:sp macro="" textlink="">
          <xdr:nvSpPr>
            <xdr:cNvPr id="5139" name="Check Box 19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4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23</xdr:row>
          <xdr:rowOff>47625</xdr:rowOff>
        </xdr:from>
        <xdr:to>
          <xdr:col>2</xdr:col>
          <xdr:colOff>123825</xdr:colOff>
          <xdr:row>24</xdr:row>
          <xdr:rowOff>19050</xdr:rowOff>
        </xdr:to>
        <xdr:sp macro="" textlink="">
          <xdr:nvSpPr>
            <xdr:cNvPr id="5140" name="Check Box 20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4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23</xdr:row>
          <xdr:rowOff>19050</xdr:rowOff>
        </xdr:from>
        <xdr:to>
          <xdr:col>8</xdr:col>
          <xdr:colOff>304800</xdr:colOff>
          <xdr:row>24</xdr:row>
          <xdr:rowOff>19050</xdr:rowOff>
        </xdr:to>
        <xdr:sp macro="" textlink="">
          <xdr:nvSpPr>
            <xdr:cNvPr id="5141" name="Check Box 21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4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24</xdr:row>
          <xdr:rowOff>19050</xdr:rowOff>
        </xdr:from>
        <xdr:to>
          <xdr:col>5</xdr:col>
          <xdr:colOff>266700</xdr:colOff>
          <xdr:row>25</xdr:row>
          <xdr:rowOff>19050</xdr:rowOff>
        </xdr:to>
        <xdr:sp macro="" textlink="">
          <xdr:nvSpPr>
            <xdr:cNvPr id="5142" name="Check Box 22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4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24</xdr:row>
          <xdr:rowOff>47625</xdr:rowOff>
        </xdr:from>
        <xdr:to>
          <xdr:col>2</xdr:col>
          <xdr:colOff>123825</xdr:colOff>
          <xdr:row>25</xdr:row>
          <xdr:rowOff>19050</xdr:rowOff>
        </xdr:to>
        <xdr:sp macro="" textlink="">
          <xdr:nvSpPr>
            <xdr:cNvPr id="5143" name="Check Box 23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4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24</xdr:row>
          <xdr:rowOff>19050</xdr:rowOff>
        </xdr:from>
        <xdr:to>
          <xdr:col>8</xdr:col>
          <xdr:colOff>304800</xdr:colOff>
          <xdr:row>25</xdr:row>
          <xdr:rowOff>19050</xdr:rowOff>
        </xdr:to>
        <xdr:sp macro="" textlink="">
          <xdr:nvSpPr>
            <xdr:cNvPr id="5144" name="Check Box 24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4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25</xdr:row>
          <xdr:rowOff>19050</xdr:rowOff>
        </xdr:from>
        <xdr:to>
          <xdr:col>5</xdr:col>
          <xdr:colOff>266700</xdr:colOff>
          <xdr:row>26</xdr:row>
          <xdr:rowOff>19050</xdr:rowOff>
        </xdr:to>
        <xdr:sp macro="" textlink="">
          <xdr:nvSpPr>
            <xdr:cNvPr id="5145" name="Check Box 25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4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25</xdr:row>
          <xdr:rowOff>47625</xdr:rowOff>
        </xdr:from>
        <xdr:to>
          <xdr:col>2</xdr:col>
          <xdr:colOff>123825</xdr:colOff>
          <xdr:row>26</xdr:row>
          <xdr:rowOff>19050</xdr:rowOff>
        </xdr:to>
        <xdr:sp macro="" textlink="">
          <xdr:nvSpPr>
            <xdr:cNvPr id="5146" name="Check Box 26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4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25</xdr:row>
          <xdr:rowOff>19050</xdr:rowOff>
        </xdr:from>
        <xdr:to>
          <xdr:col>8</xdr:col>
          <xdr:colOff>304800</xdr:colOff>
          <xdr:row>26</xdr:row>
          <xdr:rowOff>19050</xdr:rowOff>
        </xdr:to>
        <xdr:sp macro="" textlink="">
          <xdr:nvSpPr>
            <xdr:cNvPr id="5147" name="Check Box 27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4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26</xdr:row>
          <xdr:rowOff>19050</xdr:rowOff>
        </xdr:from>
        <xdr:to>
          <xdr:col>5</xdr:col>
          <xdr:colOff>266700</xdr:colOff>
          <xdr:row>27</xdr:row>
          <xdr:rowOff>19050</xdr:rowOff>
        </xdr:to>
        <xdr:sp macro="" textlink="">
          <xdr:nvSpPr>
            <xdr:cNvPr id="5151" name="Check Box 31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4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26</xdr:row>
          <xdr:rowOff>47625</xdr:rowOff>
        </xdr:from>
        <xdr:to>
          <xdr:col>2</xdr:col>
          <xdr:colOff>123825</xdr:colOff>
          <xdr:row>27</xdr:row>
          <xdr:rowOff>19050</xdr:rowOff>
        </xdr:to>
        <xdr:sp macro="" textlink="">
          <xdr:nvSpPr>
            <xdr:cNvPr id="5152" name="Check Box 32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4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26</xdr:row>
          <xdr:rowOff>19050</xdr:rowOff>
        </xdr:from>
        <xdr:to>
          <xdr:col>8</xdr:col>
          <xdr:colOff>304800</xdr:colOff>
          <xdr:row>27</xdr:row>
          <xdr:rowOff>19050</xdr:rowOff>
        </xdr:to>
        <xdr:sp macro="" textlink="">
          <xdr:nvSpPr>
            <xdr:cNvPr id="5153" name="Check Box 33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4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27</xdr:row>
          <xdr:rowOff>19050</xdr:rowOff>
        </xdr:from>
        <xdr:to>
          <xdr:col>5</xdr:col>
          <xdr:colOff>266700</xdr:colOff>
          <xdr:row>28</xdr:row>
          <xdr:rowOff>19050</xdr:rowOff>
        </xdr:to>
        <xdr:sp macro="" textlink="">
          <xdr:nvSpPr>
            <xdr:cNvPr id="5157" name="Check Box 37" hidden="1">
              <a:extLst>
                <a:ext uri="{63B3BB69-23CF-44E3-9099-C40C66FF867C}">
                  <a14:compatExt spid="_x0000_s5157"/>
                </a:ext>
                <a:ext uri="{FF2B5EF4-FFF2-40B4-BE49-F238E27FC236}">
                  <a16:creationId xmlns:a16="http://schemas.microsoft.com/office/drawing/2014/main" id="{00000000-0008-0000-0400-00002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27</xdr:row>
          <xdr:rowOff>47625</xdr:rowOff>
        </xdr:from>
        <xdr:to>
          <xdr:col>2</xdr:col>
          <xdr:colOff>123825</xdr:colOff>
          <xdr:row>28</xdr:row>
          <xdr:rowOff>19050</xdr:rowOff>
        </xdr:to>
        <xdr:sp macro="" textlink="">
          <xdr:nvSpPr>
            <xdr:cNvPr id="5158" name="Check Box 38" hidden="1">
              <a:extLst>
                <a:ext uri="{63B3BB69-23CF-44E3-9099-C40C66FF867C}">
                  <a14:compatExt spid="_x0000_s5158"/>
                </a:ext>
                <a:ext uri="{FF2B5EF4-FFF2-40B4-BE49-F238E27FC236}">
                  <a16:creationId xmlns:a16="http://schemas.microsoft.com/office/drawing/2014/main" id="{00000000-0008-0000-0400-00002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27</xdr:row>
          <xdr:rowOff>19050</xdr:rowOff>
        </xdr:from>
        <xdr:to>
          <xdr:col>8</xdr:col>
          <xdr:colOff>304800</xdr:colOff>
          <xdr:row>28</xdr:row>
          <xdr:rowOff>19050</xdr:rowOff>
        </xdr:to>
        <xdr:sp macro="" textlink="">
          <xdr:nvSpPr>
            <xdr:cNvPr id="5159" name="Check Box 39" hidden="1">
              <a:extLst>
                <a:ext uri="{63B3BB69-23CF-44E3-9099-C40C66FF867C}">
                  <a14:compatExt spid="_x0000_s5159"/>
                </a:ext>
                <a:ext uri="{FF2B5EF4-FFF2-40B4-BE49-F238E27FC236}">
                  <a16:creationId xmlns:a16="http://schemas.microsoft.com/office/drawing/2014/main" id="{00000000-0008-0000-0400-00002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28</xdr:row>
          <xdr:rowOff>19050</xdr:rowOff>
        </xdr:from>
        <xdr:to>
          <xdr:col>5</xdr:col>
          <xdr:colOff>266700</xdr:colOff>
          <xdr:row>29</xdr:row>
          <xdr:rowOff>19050</xdr:rowOff>
        </xdr:to>
        <xdr:sp macro="" textlink="">
          <xdr:nvSpPr>
            <xdr:cNvPr id="5160" name="Check Box 40" hidden="1">
              <a:extLst>
                <a:ext uri="{63B3BB69-23CF-44E3-9099-C40C66FF867C}">
                  <a14:compatExt spid="_x0000_s5160"/>
                </a:ext>
                <a:ext uri="{FF2B5EF4-FFF2-40B4-BE49-F238E27FC236}">
                  <a16:creationId xmlns:a16="http://schemas.microsoft.com/office/drawing/2014/main" id="{00000000-0008-0000-0400-00002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28</xdr:row>
          <xdr:rowOff>47625</xdr:rowOff>
        </xdr:from>
        <xdr:to>
          <xdr:col>2</xdr:col>
          <xdr:colOff>123825</xdr:colOff>
          <xdr:row>29</xdr:row>
          <xdr:rowOff>19050</xdr:rowOff>
        </xdr:to>
        <xdr:sp macro="" textlink="">
          <xdr:nvSpPr>
            <xdr:cNvPr id="5161" name="Check Box 41" hidden="1">
              <a:extLst>
                <a:ext uri="{63B3BB69-23CF-44E3-9099-C40C66FF867C}">
                  <a14:compatExt spid="_x0000_s5161"/>
                </a:ext>
                <a:ext uri="{FF2B5EF4-FFF2-40B4-BE49-F238E27FC236}">
                  <a16:creationId xmlns:a16="http://schemas.microsoft.com/office/drawing/2014/main" id="{00000000-0008-0000-0400-00002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28</xdr:row>
          <xdr:rowOff>19050</xdr:rowOff>
        </xdr:from>
        <xdr:to>
          <xdr:col>8</xdr:col>
          <xdr:colOff>304800</xdr:colOff>
          <xdr:row>29</xdr:row>
          <xdr:rowOff>19050</xdr:rowOff>
        </xdr:to>
        <xdr:sp macro="" textlink="">
          <xdr:nvSpPr>
            <xdr:cNvPr id="5162" name="Check Box 42" hidden="1">
              <a:extLst>
                <a:ext uri="{63B3BB69-23CF-44E3-9099-C40C66FF867C}">
                  <a14:compatExt spid="_x0000_s5162"/>
                </a:ext>
                <a:ext uri="{FF2B5EF4-FFF2-40B4-BE49-F238E27FC236}">
                  <a16:creationId xmlns:a16="http://schemas.microsoft.com/office/drawing/2014/main" id="{00000000-0008-0000-0400-00002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228600</xdr:rowOff>
        </xdr:from>
        <xdr:to>
          <xdr:col>1</xdr:col>
          <xdr:colOff>219075</xdr:colOff>
          <xdr:row>15</xdr:row>
          <xdr:rowOff>66675</xdr:rowOff>
        </xdr:to>
        <xdr:sp macro="" textlink="">
          <xdr:nvSpPr>
            <xdr:cNvPr id="5163" name="Check Box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00000000-0008-0000-0400-00002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333375</xdr:colOff>
          <xdr:row>15</xdr:row>
          <xdr:rowOff>0</xdr:rowOff>
        </xdr:from>
        <xdr:to>
          <xdr:col>1</xdr:col>
          <xdr:colOff>190500</xdr:colOff>
          <xdr:row>15</xdr:row>
          <xdr:rowOff>285750</xdr:rowOff>
        </xdr:to>
        <xdr:sp macro="" textlink="">
          <xdr:nvSpPr>
            <xdr:cNvPr id="5164" name="Check Box 44" hidden="1">
              <a:extLst>
                <a:ext uri="{63B3BB69-23CF-44E3-9099-C40C66FF867C}">
                  <a14:compatExt spid="_x0000_s5164"/>
                </a:ext>
                <a:ext uri="{FF2B5EF4-FFF2-40B4-BE49-F238E27FC236}">
                  <a16:creationId xmlns:a16="http://schemas.microsoft.com/office/drawing/2014/main" id="{00000000-0008-0000-0400-00002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361950</xdr:colOff>
          <xdr:row>19</xdr:row>
          <xdr:rowOff>19050</xdr:rowOff>
        </xdr:from>
        <xdr:to>
          <xdr:col>18</xdr:col>
          <xdr:colOff>581025</xdr:colOff>
          <xdr:row>20</xdr:row>
          <xdr:rowOff>19050</xdr:rowOff>
        </xdr:to>
        <xdr:sp macro="" textlink="">
          <xdr:nvSpPr>
            <xdr:cNvPr id="5166" name="Check Box 46" hidden="1">
              <a:extLst>
                <a:ext uri="{63B3BB69-23CF-44E3-9099-C40C66FF867C}">
                  <a14:compatExt spid="_x0000_s5166"/>
                </a:ext>
                <a:ext uri="{FF2B5EF4-FFF2-40B4-BE49-F238E27FC236}">
                  <a16:creationId xmlns:a16="http://schemas.microsoft.com/office/drawing/2014/main" id="{00000000-0008-0000-0400-00002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361950</xdr:colOff>
          <xdr:row>20</xdr:row>
          <xdr:rowOff>19050</xdr:rowOff>
        </xdr:from>
        <xdr:to>
          <xdr:col>18</xdr:col>
          <xdr:colOff>581025</xdr:colOff>
          <xdr:row>21</xdr:row>
          <xdr:rowOff>19050</xdr:rowOff>
        </xdr:to>
        <xdr:sp macro="" textlink="">
          <xdr:nvSpPr>
            <xdr:cNvPr id="5167" name="Check Box 47" hidden="1">
              <a:extLst>
                <a:ext uri="{63B3BB69-23CF-44E3-9099-C40C66FF867C}">
                  <a14:compatExt spid="_x0000_s5167"/>
                </a:ext>
                <a:ext uri="{FF2B5EF4-FFF2-40B4-BE49-F238E27FC236}">
                  <a16:creationId xmlns:a16="http://schemas.microsoft.com/office/drawing/2014/main" id="{00000000-0008-0000-0400-00002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361950</xdr:colOff>
          <xdr:row>21</xdr:row>
          <xdr:rowOff>171450</xdr:rowOff>
        </xdr:from>
        <xdr:to>
          <xdr:col>18</xdr:col>
          <xdr:colOff>571500</xdr:colOff>
          <xdr:row>22</xdr:row>
          <xdr:rowOff>161925</xdr:rowOff>
        </xdr:to>
        <xdr:sp macro="" textlink="">
          <xdr:nvSpPr>
            <xdr:cNvPr id="5168" name="Check Box 48" hidden="1">
              <a:extLst>
                <a:ext uri="{63B3BB69-23CF-44E3-9099-C40C66FF867C}">
                  <a14:compatExt spid="_x0000_s5168"/>
                </a:ext>
                <a:ext uri="{FF2B5EF4-FFF2-40B4-BE49-F238E27FC236}">
                  <a16:creationId xmlns:a16="http://schemas.microsoft.com/office/drawing/2014/main" id="{00000000-0008-0000-0400-00003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361950</xdr:colOff>
          <xdr:row>23</xdr:row>
          <xdr:rowOff>19050</xdr:rowOff>
        </xdr:from>
        <xdr:to>
          <xdr:col>18</xdr:col>
          <xdr:colOff>571500</xdr:colOff>
          <xdr:row>24</xdr:row>
          <xdr:rowOff>9525</xdr:rowOff>
        </xdr:to>
        <xdr:sp macro="" textlink="">
          <xdr:nvSpPr>
            <xdr:cNvPr id="5169" name="Check Box 49" hidden="1">
              <a:extLst>
                <a:ext uri="{63B3BB69-23CF-44E3-9099-C40C66FF867C}">
                  <a14:compatExt spid="_x0000_s5169"/>
                </a:ext>
                <a:ext uri="{FF2B5EF4-FFF2-40B4-BE49-F238E27FC236}">
                  <a16:creationId xmlns:a16="http://schemas.microsoft.com/office/drawing/2014/main" id="{00000000-0008-0000-0400-00003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361950</xdr:colOff>
          <xdr:row>24</xdr:row>
          <xdr:rowOff>19050</xdr:rowOff>
        </xdr:from>
        <xdr:to>
          <xdr:col>18</xdr:col>
          <xdr:colOff>581025</xdr:colOff>
          <xdr:row>25</xdr:row>
          <xdr:rowOff>19050</xdr:rowOff>
        </xdr:to>
        <xdr:sp macro="" textlink="">
          <xdr:nvSpPr>
            <xdr:cNvPr id="5170" name="Check Box 50" hidden="1">
              <a:extLst>
                <a:ext uri="{63B3BB69-23CF-44E3-9099-C40C66FF867C}">
                  <a14:compatExt spid="_x0000_s5170"/>
                </a:ext>
                <a:ext uri="{FF2B5EF4-FFF2-40B4-BE49-F238E27FC236}">
                  <a16:creationId xmlns:a16="http://schemas.microsoft.com/office/drawing/2014/main" id="{00000000-0008-0000-0400-00003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361950</xdr:colOff>
          <xdr:row>25</xdr:row>
          <xdr:rowOff>19050</xdr:rowOff>
        </xdr:from>
        <xdr:to>
          <xdr:col>18</xdr:col>
          <xdr:colOff>571500</xdr:colOff>
          <xdr:row>26</xdr:row>
          <xdr:rowOff>19050</xdr:rowOff>
        </xdr:to>
        <xdr:sp macro="" textlink="">
          <xdr:nvSpPr>
            <xdr:cNvPr id="5171" name="Check Box 51" hidden="1">
              <a:extLst>
                <a:ext uri="{63B3BB69-23CF-44E3-9099-C40C66FF867C}">
                  <a14:compatExt spid="_x0000_s5171"/>
                </a:ext>
                <a:ext uri="{FF2B5EF4-FFF2-40B4-BE49-F238E27FC236}">
                  <a16:creationId xmlns:a16="http://schemas.microsoft.com/office/drawing/2014/main" id="{00000000-0008-0000-0400-00003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361950</xdr:colOff>
          <xdr:row>18</xdr:row>
          <xdr:rowOff>19050</xdr:rowOff>
        </xdr:from>
        <xdr:to>
          <xdr:col>18</xdr:col>
          <xdr:colOff>571500</xdr:colOff>
          <xdr:row>19</xdr:row>
          <xdr:rowOff>9525</xdr:rowOff>
        </xdr:to>
        <xdr:sp macro="" textlink="">
          <xdr:nvSpPr>
            <xdr:cNvPr id="5172" name="Check Box 52" hidden="1">
              <a:extLst>
                <a:ext uri="{63B3BB69-23CF-44E3-9099-C40C66FF867C}">
                  <a14:compatExt spid="_x0000_s5172"/>
                </a:ext>
                <a:ext uri="{FF2B5EF4-FFF2-40B4-BE49-F238E27FC236}">
                  <a16:creationId xmlns:a16="http://schemas.microsoft.com/office/drawing/2014/main" id="{00000000-0008-0000-0400-00003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361950</xdr:colOff>
          <xdr:row>17</xdr:row>
          <xdr:rowOff>19050</xdr:rowOff>
        </xdr:from>
        <xdr:to>
          <xdr:col>18</xdr:col>
          <xdr:colOff>581025</xdr:colOff>
          <xdr:row>18</xdr:row>
          <xdr:rowOff>9525</xdr:rowOff>
        </xdr:to>
        <xdr:sp macro="" textlink="">
          <xdr:nvSpPr>
            <xdr:cNvPr id="5177" name="Check Box 57" hidden="1">
              <a:extLst>
                <a:ext uri="{63B3BB69-23CF-44E3-9099-C40C66FF867C}">
                  <a14:compatExt spid="_x0000_s5177"/>
                </a:ext>
                <a:ext uri="{FF2B5EF4-FFF2-40B4-BE49-F238E27FC236}">
                  <a16:creationId xmlns:a16="http://schemas.microsoft.com/office/drawing/2014/main" id="{00000000-0008-0000-0400-00003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133350</xdr:colOff>
          <xdr:row>5</xdr:row>
          <xdr:rowOff>171450</xdr:rowOff>
        </xdr:from>
        <xdr:to>
          <xdr:col>16</xdr:col>
          <xdr:colOff>352425</xdr:colOff>
          <xdr:row>7</xdr:row>
          <xdr:rowOff>66675</xdr:rowOff>
        </xdr:to>
        <xdr:sp macro="" textlink="">
          <xdr:nvSpPr>
            <xdr:cNvPr id="5178" name="Check Box 58" hidden="1">
              <a:extLst>
                <a:ext uri="{63B3BB69-23CF-44E3-9099-C40C66FF867C}">
                  <a14:compatExt spid="_x0000_s5178"/>
                </a:ext>
                <a:ext uri="{FF2B5EF4-FFF2-40B4-BE49-F238E27FC236}">
                  <a16:creationId xmlns:a16="http://schemas.microsoft.com/office/drawing/2014/main" id="{00000000-0008-0000-0400-00003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85725</xdr:colOff>
          <xdr:row>5</xdr:row>
          <xdr:rowOff>180975</xdr:rowOff>
        </xdr:from>
        <xdr:to>
          <xdr:col>19</xdr:col>
          <xdr:colOff>304800</xdr:colOff>
          <xdr:row>7</xdr:row>
          <xdr:rowOff>66675</xdr:rowOff>
        </xdr:to>
        <xdr:sp macro="" textlink="">
          <xdr:nvSpPr>
            <xdr:cNvPr id="5179" name="Check Box 59" hidden="1">
              <a:extLst>
                <a:ext uri="{63B3BB69-23CF-44E3-9099-C40C66FF867C}">
                  <a14:compatExt spid="_x0000_s5179"/>
                </a:ext>
                <a:ext uri="{FF2B5EF4-FFF2-40B4-BE49-F238E27FC236}">
                  <a16:creationId xmlns:a16="http://schemas.microsoft.com/office/drawing/2014/main" id="{00000000-0008-0000-0400-00003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133350</xdr:colOff>
          <xdr:row>6</xdr:row>
          <xdr:rowOff>171450</xdr:rowOff>
        </xdr:from>
        <xdr:to>
          <xdr:col>16</xdr:col>
          <xdr:colOff>352425</xdr:colOff>
          <xdr:row>8</xdr:row>
          <xdr:rowOff>66675</xdr:rowOff>
        </xdr:to>
        <xdr:sp macro="" textlink="">
          <xdr:nvSpPr>
            <xdr:cNvPr id="5180" name="Check Box 60" hidden="1">
              <a:extLst>
                <a:ext uri="{63B3BB69-23CF-44E3-9099-C40C66FF867C}">
                  <a14:compatExt spid="_x0000_s5180"/>
                </a:ext>
                <a:ext uri="{FF2B5EF4-FFF2-40B4-BE49-F238E27FC236}">
                  <a16:creationId xmlns:a16="http://schemas.microsoft.com/office/drawing/2014/main" id="{00000000-0008-0000-0400-00003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85725</xdr:colOff>
          <xdr:row>6</xdr:row>
          <xdr:rowOff>180975</xdr:rowOff>
        </xdr:from>
        <xdr:to>
          <xdr:col>19</xdr:col>
          <xdr:colOff>304800</xdr:colOff>
          <xdr:row>8</xdr:row>
          <xdr:rowOff>66675</xdr:rowOff>
        </xdr:to>
        <xdr:sp macro="" textlink="">
          <xdr:nvSpPr>
            <xdr:cNvPr id="5181" name="Check Box 61" hidden="1">
              <a:extLst>
                <a:ext uri="{63B3BB69-23CF-44E3-9099-C40C66FF867C}">
                  <a14:compatExt spid="_x0000_s5181"/>
                </a:ext>
                <a:ext uri="{FF2B5EF4-FFF2-40B4-BE49-F238E27FC236}">
                  <a16:creationId xmlns:a16="http://schemas.microsoft.com/office/drawing/2014/main" id="{00000000-0008-0000-0400-00003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22</xdr:row>
          <xdr:rowOff>47625</xdr:rowOff>
        </xdr:from>
        <xdr:to>
          <xdr:col>2</xdr:col>
          <xdr:colOff>123825</xdr:colOff>
          <xdr:row>23</xdr:row>
          <xdr:rowOff>19050</xdr:rowOff>
        </xdr:to>
        <xdr:sp macro="" textlink="">
          <xdr:nvSpPr>
            <xdr:cNvPr id="5182" name="Check Box 62" hidden="1">
              <a:extLst>
                <a:ext uri="{63B3BB69-23CF-44E3-9099-C40C66FF867C}">
                  <a14:compatExt spid="_x0000_s5182"/>
                </a:ext>
                <a:ext uri="{FF2B5EF4-FFF2-40B4-BE49-F238E27FC236}">
                  <a16:creationId xmlns:a16="http://schemas.microsoft.com/office/drawing/2014/main" id="{00000000-0008-0000-0400-00003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23</xdr:row>
          <xdr:rowOff>47625</xdr:rowOff>
        </xdr:from>
        <xdr:to>
          <xdr:col>2</xdr:col>
          <xdr:colOff>123825</xdr:colOff>
          <xdr:row>24</xdr:row>
          <xdr:rowOff>19050</xdr:rowOff>
        </xdr:to>
        <xdr:sp macro="" textlink="">
          <xdr:nvSpPr>
            <xdr:cNvPr id="5183" name="Check Box 63" hidden="1">
              <a:extLst>
                <a:ext uri="{63B3BB69-23CF-44E3-9099-C40C66FF867C}">
                  <a14:compatExt spid="_x0000_s5183"/>
                </a:ext>
                <a:ext uri="{FF2B5EF4-FFF2-40B4-BE49-F238E27FC236}">
                  <a16:creationId xmlns:a16="http://schemas.microsoft.com/office/drawing/2014/main" id="{00000000-0008-0000-0400-00003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venfeuerriegel/OneDrive%20-%20ERC.HOLDING%20GmbH/IGE/Protokoll%20Wagenmeister/WaLi%20WAAGERECHT,RID-Liste,%20BremsZ,%20WU-Prot,%20ATTI-Prot%20Version%20Stand_2018-09-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genliste"/>
      <sheetName val="Gefahrgutliste"/>
      <sheetName val="Bremszettel"/>
      <sheetName val="WU Protokoll"/>
      <sheetName val="Techn. Übergangsuntersuchung"/>
    </sheetNames>
    <sheetDataSet>
      <sheetData sheetId="0">
        <row r="7">
          <cell r="A7"/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Z65"/>
  <sheetViews>
    <sheetView zoomScale="115" zoomScaleNormal="115" workbookViewId="0">
      <pane ySplit="6" topLeftCell="A7" activePane="bottomLeft" state="frozen"/>
      <selection pane="bottomLeft" activeCell="G43" sqref="G43"/>
    </sheetView>
  </sheetViews>
  <sheetFormatPr defaultColWidth="8.359375" defaultRowHeight="12.75" x14ac:dyDescent="0.15"/>
  <cols>
    <col min="1" max="1" width="3.91015625" style="101" customWidth="1"/>
    <col min="2" max="4" width="3.50390625" style="101" bestFit="1" customWidth="1"/>
    <col min="5" max="5" width="4.71875" style="101" bestFit="1" customWidth="1"/>
    <col min="6" max="6" width="2.96484375" style="101" bestFit="1" customWidth="1"/>
    <col min="7" max="7" width="5.12109375" style="101" customWidth="1"/>
    <col min="8" max="8" width="6.203125" style="101" customWidth="1"/>
    <col min="9" max="10" width="7.55078125" style="101" customWidth="1"/>
    <col min="11" max="11" width="5.12109375" style="101" customWidth="1"/>
    <col min="12" max="12" width="5.66015625" style="101" customWidth="1"/>
    <col min="13" max="13" width="5.2578125" style="101" customWidth="1"/>
    <col min="14" max="14" width="5.796875" style="101" customWidth="1"/>
    <col min="15" max="15" width="7.55078125" style="101" customWidth="1"/>
    <col min="16" max="16" width="4.8515625" style="101" customWidth="1"/>
    <col min="17" max="17" width="6.203125" style="101" customWidth="1"/>
    <col min="18" max="18" width="5.796875" style="101" customWidth="1"/>
    <col min="19" max="19" width="4.8515625" style="101" customWidth="1"/>
    <col min="20" max="20" width="18.87890625" style="101" customWidth="1"/>
    <col min="21" max="21" width="4.71875" style="101" customWidth="1"/>
    <col min="22" max="22" width="5.12109375" style="101" customWidth="1"/>
    <col min="23" max="23" width="32.36328125" style="101" customWidth="1"/>
    <col min="24" max="25" width="0" style="101" hidden="1" customWidth="1"/>
    <col min="26" max="26" width="8.359375" style="101" hidden="1" customWidth="1"/>
    <col min="27" max="16384" width="8.359375" style="101"/>
  </cols>
  <sheetData>
    <row r="1" spans="1:26" ht="18.75" customHeight="1" x14ac:dyDescent="0.15">
      <c r="A1" s="378" t="s">
        <v>277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9" t="s">
        <v>131</v>
      </c>
      <c r="N1" s="379"/>
      <c r="O1" s="379"/>
      <c r="P1" s="363" t="s">
        <v>233</v>
      </c>
      <c r="Q1" s="363"/>
      <c r="R1" s="363"/>
      <c r="S1" s="363"/>
      <c r="T1" s="363"/>
      <c r="U1" s="379" t="s">
        <v>234</v>
      </c>
      <c r="V1" s="379"/>
      <c r="W1" s="379"/>
    </row>
    <row r="2" spans="1:26" s="117" customFormat="1" ht="15" thickBot="1" x14ac:dyDescent="0.2">
      <c r="A2" s="378"/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0"/>
      <c r="N2" s="371"/>
      <c r="O2" s="372"/>
      <c r="P2" s="370" t="s">
        <v>132</v>
      </c>
      <c r="Q2" s="371"/>
      <c r="R2" s="371"/>
      <c r="S2" s="371"/>
      <c r="T2" s="372"/>
      <c r="U2" s="370" t="s">
        <v>315</v>
      </c>
      <c r="V2" s="371"/>
      <c r="W2" s="372"/>
    </row>
    <row r="3" spans="1:26" s="117" customFormat="1" ht="5.0999999999999996" customHeight="1" thickBot="1" x14ac:dyDescent="0.2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19"/>
      <c r="N3" s="119"/>
      <c r="O3" s="119"/>
      <c r="P3" s="119"/>
      <c r="Q3" s="119"/>
      <c r="R3" s="119"/>
      <c r="S3" s="119"/>
      <c r="T3" s="119"/>
      <c r="U3" s="118"/>
      <c r="V3" s="118"/>
      <c r="W3" s="118"/>
    </row>
    <row r="4" spans="1:26" s="113" customFormat="1" ht="12.95" customHeight="1" x14ac:dyDescent="0.15">
      <c r="A4" s="116">
        <v>45</v>
      </c>
      <c r="B4" s="383">
        <v>46</v>
      </c>
      <c r="C4" s="384"/>
      <c r="D4" s="384"/>
      <c r="E4" s="384"/>
      <c r="F4" s="385"/>
      <c r="G4" s="115">
        <v>47</v>
      </c>
      <c r="H4" s="115">
        <v>48</v>
      </c>
      <c r="I4" s="115">
        <v>49</v>
      </c>
      <c r="J4" s="115">
        <v>50</v>
      </c>
      <c r="K4" s="115">
        <v>51</v>
      </c>
      <c r="L4" s="386">
        <v>52</v>
      </c>
      <c r="M4" s="385"/>
      <c r="N4" s="115">
        <v>53</v>
      </c>
      <c r="O4" s="115">
        <v>54</v>
      </c>
      <c r="P4" s="386">
        <v>55</v>
      </c>
      <c r="Q4" s="384"/>
      <c r="R4" s="385"/>
      <c r="S4" s="115">
        <v>56</v>
      </c>
      <c r="T4" s="115">
        <v>57</v>
      </c>
      <c r="U4" s="115">
        <v>58</v>
      </c>
      <c r="V4" s="115">
        <v>59</v>
      </c>
      <c r="W4" s="114">
        <v>60</v>
      </c>
    </row>
    <row r="5" spans="1:26" s="113" customFormat="1" ht="38.65" customHeight="1" x14ac:dyDescent="0.15">
      <c r="A5" s="387" t="s">
        <v>235</v>
      </c>
      <c r="B5" s="389" t="s">
        <v>236</v>
      </c>
      <c r="C5" s="390"/>
      <c r="D5" s="390"/>
      <c r="E5" s="390"/>
      <c r="F5" s="391"/>
      <c r="G5" s="361" t="s">
        <v>237</v>
      </c>
      <c r="H5" s="361" t="s">
        <v>238</v>
      </c>
      <c r="I5" s="361" t="s">
        <v>239</v>
      </c>
      <c r="J5" s="361" t="s">
        <v>240</v>
      </c>
      <c r="K5" s="361" t="s">
        <v>241</v>
      </c>
      <c r="L5" s="368" t="s">
        <v>242</v>
      </c>
      <c r="M5" s="369"/>
      <c r="N5" s="364" t="s">
        <v>243</v>
      </c>
      <c r="O5" s="366" t="s">
        <v>244</v>
      </c>
      <c r="P5" s="366" t="s">
        <v>3</v>
      </c>
      <c r="Q5" s="380"/>
      <c r="R5" s="380"/>
      <c r="S5" s="381" t="s">
        <v>245</v>
      </c>
      <c r="T5" s="377" t="s">
        <v>246</v>
      </c>
      <c r="U5" s="364" t="s">
        <v>247</v>
      </c>
      <c r="V5" s="373" t="s">
        <v>248</v>
      </c>
      <c r="W5" s="375" t="s">
        <v>249</v>
      </c>
      <c r="X5" s="137"/>
    </row>
    <row r="6" spans="1:26" s="113" customFormat="1" ht="37.15" customHeight="1" thickBot="1" x14ac:dyDescent="0.2">
      <c r="A6" s="388"/>
      <c r="B6" s="223" t="s">
        <v>6</v>
      </c>
      <c r="C6" s="223" t="s">
        <v>7</v>
      </c>
      <c r="D6" s="224" t="s">
        <v>276</v>
      </c>
      <c r="E6" s="223" t="s">
        <v>8</v>
      </c>
      <c r="F6" s="223" t="s">
        <v>9</v>
      </c>
      <c r="G6" s="362"/>
      <c r="H6" s="362"/>
      <c r="I6" s="362"/>
      <c r="J6" s="362"/>
      <c r="K6" s="362"/>
      <c r="L6" s="225" t="s">
        <v>4</v>
      </c>
      <c r="M6" s="225" t="s">
        <v>5</v>
      </c>
      <c r="N6" s="365"/>
      <c r="O6" s="367"/>
      <c r="P6" s="226" t="s">
        <v>250</v>
      </c>
      <c r="Q6" s="226" t="s">
        <v>251</v>
      </c>
      <c r="R6" s="226" t="s">
        <v>252</v>
      </c>
      <c r="S6" s="382"/>
      <c r="T6" s="376"/>
      <c r="U6" s="365"/>
      <c r="V6" s="374"/>
      <c r="W6" s="376"/>
      <c r="X6" s="139" t="s">
        <v>138</v>
      </c>
    </row>
    <row r="7" spans="1:26" ht="15.75" customHeight="1" x14ac:dyDescent="0.15">
      <c r="A7" s="126">
        <v>1</v>
      </c>
      <c r="B7" s="358">
        <v>378078308871</v>
      </c>
      <c r="C7" s="359"/>
      <c r="D7" s="359"/>
      <c r="E7" s="359"/>
      <c r="F7" s="360"/>
      <c r="G7" s="214">
        <v>4</v>
      </c>
      <c r="H7" s="215">
        <v>16.399999999999999</v>
      </c>
      <c r="I7" s="216">
        <v>66.3</v>
      </c>
      <c r="J7" s="217">
        <v>89.2</v>
      </c>
      <c r="K7" s="214" t="s">
        <v>316</v>
      </c>
      <c r="L7" s="218"/>
      <c r="M7" s="218">
        <v>59</v>
      </c>
      <c r="N7" s="219">
        <f t="shared" ref="N7:N12" si="0">L7+M7</f>
        <v>59</v>
      </c>
      <c r="O7" s="220">
        <v>20.2</v>
      </c>
      <c r="P7" s="214">
        <v>30</v>
      </c>
      <c r="Q7" s="214">
        <v>1863</v>
      </c>
      <c r="R7" s="214">
        <v>3</v>
      </c>
      <c r="S7" s="214">
        <v>0</v>
      </c>
      <c r="T7" s="221" t="str">
        <f>IF(ISBLANK($B7),"",$U$2)</f>
        <v xml:space="preserve">Schkeuditz Luftfracht </v>
      </c>
      <c r="U7" s="214">
        <v>100</v>
      </c>
      <c r="V7" s="214" t="s">
        <v>306</v>
      </c>
      <c r="W7" s="222" t="s">
        <v>307</v>
      </c>
      <c r="X7" s="138">
        <f>'Formeln Rdx'!AN7</f>
        <v>0</v>
      </c>
      <c r="Y7" s="101" t="str">
        <f>IF($K7="L","OK",IF(K7="K","OK",IF(K7="LL","OK","NOK")))</f>
        <v>OK</v>
      </c>
      <c r="Z7" s="101" t="str">
        <f>IF(OR(N7=4,N7="-"),"OK","NOK")</f>
        <v>NOK</v>
      </c>
    </row>
    <row r="8" spans="1:26" ht="15.75" customHeight="1" x14ac:dyDescent="0.15">
      <c r="A8" s="127">
        <v>2</v>
      </c>
      <c r="B8" s="358">
        <v>378078430758</v>
      </c>
      <c r="C8" s="359"/>
      <c r="D8" s="359"/>
      <c r="E8" s="359"/>
      <c r="F8" s="360"/>
      <c r="G8" s="214">
        <v>4</v>
      </c>
      <c r="H8" s="215">
        <v>16.399999999999999</v>
      </c>
      <c r="I8" s="216"/>
      <c r="J8" s="133"/>
      <c r="K8" s="214" t="s">
        <v>316</v>
      </c>
      <c r="L8" s="134"/>
      <c r="M8" s="134">
        <v>60</v>
      </c>
      <c r="N8" s="212">
        <f t="shared" si="0"/>
        <v>60</v>
      </c>
      <c r="O8" s="220">
        <v>23.9</v>
      </c>
      <c r="P8" s="214">
        <v>30</v>
      </c>
      <c r="Q8" s="214">
        <v>1863</v>
      </c>
      <c r="R8" s="214">
        <v>3</v>
      </c>
      <c r="S8" s="214">
        <v>0</v>
      </c>
      <c r="T8" s="208" t="str">
        <f t="shared" ref="T8:T36" si="1">IF(ISBLANK($B8),"",$U$2)</f>
        <v xml:space="preserve">Schkeuditz Luftfracht </v>
      </c>
      <c r="U8" s="214">
        <v>100</v>
      </c>
      <c r="V8" s="214" t="s">
        <v>306</v>
      </c>
      <c r="W8" s="222" t="s">
        <v>307</v>
      </c>
      <c r="X8" s="138">
        <f>'Formeln Rdx'!AN8</f>
        <v>0</v>
      </c>
      <c r="Y8" s="101" t="str">
        <f t="shared" ref="Y8:Y36" si="2">IF($K8="L","OK",IF(K8="K","OK",IF(K8="LL","OK","NOK")))</f>
        <v>OK</v>
      </c>
      <c r="Z8" s="101" t="str">
        <f t="shared" ref="Z8:Z36" si="3">IF(OR(N8=4,N8="-"),"OK","NOK")</f>
        <v>NOK</v>
      </c>
    </row>
    <row r="9" spans="1:26" ht="15.75" customHeight="1" x14ac:dyDescent="0.15">
      <c r="A9" s="127">
        <v>3</v>
      </c>
      <c r="B9" s="358">
        <v>378078430659</v>
      </c>
      <c r="C9" s="359"/>
      <c r="D9" s="359"/>
      <c r="E9" s="359"/>
      <c r="F9" s="360"/>
      <c r="G9" s="214">
        <v>4</v>
      </c>
      <c r="H9" s="215">
        <v>16.399999999999999</v>
      </c>
      <c r="I9" s="216"/>
      <c r="J9" s="133"/>
      <c r="K9" s="214" t="s">
        <v>316</v>
      </c>
      <c r="L9" s="134"/>
      <c r="M9" s="134">
        <v>60</v>
      </c>
      <c r="N9" s="212">
        <f t="shared" si="0"/>
        <v>60</v>
      </c>
      <c r="O9" s="220">
        <v>23.8</v>
      </c>
      <c r="P9" s="214">
        <v>30</v>
      </c>
      <c r="Q9" s="214">
        <v>1863</v>
      </c>
      <c r="R9" s="214">
        <v>3</v>
      </c>
      <c r="S9" s="214">
        <v>0</v>
      </c>
      <c r="T9" s="208" t="str">
        <f t="shared" si="1"/>
        <v xml:space="preserve">Schkeuditz Luftfracht </v>
      </c>
      <c r="U9" s="214">
        <v>100</v>
      </c>
      <c r="V9" s="214" t="s">
        <v>306</v>
      </c>
      <c r="W9" s="222" t="s">
        <v>307</v>
      </c>
      <c r="X9" s="138">
        <f>'Formeln Rdx'!AN9</f>
        <v>0</v>
      </c>
      <c r="Y9" s="101" t="str">
        <f t="shared" si="2"/>
        <v>OK</v>
      </c>
      <c r="Z9" s="101" t="str">
        <f t="shared" si="3"/>
        <v>NOK</v>
      </c>
    </row>
    <row r="10" spans="1:26" ht="15.75" customHeight="1" x14ac:dyDescent="0.15">
      <c r="A10" s="127">
        <v>4</v>
      </c>
      <c r="B10" s="358">
        <v>378478296361</v>
      </c>
      <c r="C10" s="359"/>
      <c r="D10" s="359"/>
      <c r="E10" s="359"/>
      <c r="F10" s="360"/>
      <c r="G10" s="214">
        <v>4</v>
      </c>
      <c r="H10" s="215">
        <v>16.690000000000001</v>
      </c>
      <c r="I10" s="216"/>
      <c r="J10" s="133"/>
      <c r="K10" s="214" t="s">
        <v>316</v>
      </c>
      <c r="L10" s="134"/>
      <c r="M10" s="134">
        <v>59</v>
      </c>
      <c r="N10" s="212">
        <f t="shared" si="0"/>
        <v>59</v>
      </c>
      <c r="O10" s="220">
        <v>22.1</v>
      </c>
      <c r="P10" s="214">
        <v>30</v>
      </c>
      <c r="Q10" s="214">
        <v>1863</v>
      </c>
      <c r="R10" s="214">
        <v>3</v>
      </c>
      <c r="S10" s="214">
        <v>0</v>
      </c>
      <c r="T10" s="208" t="str">
        <f t="shared" si="1"/>
        <v xml:space="preserve">Schkeuditz Luftfracht </v>
      </c>
      <c r="U10" s="214">
        <v>100</v>
      </c>
      <c r="V10" s="214" t="s">
        <v>306</v>
      </c>
      <c r="W10" s="222" t="s">
        <v>307</v>
      </c>
      <c r="X10" s="138">
        <f>'Formeln Rdx'!AN10</f>
        <v>0</v>
      </c>
      <c r="Y10" s="101" t="str">
        <f t="shared" si="2"/>
        <v>OK</v>
      </c>
      <c r="Z10" s="101" t="str">
        <f t="shared" si="3"/>
        <v>NOK</v>
      </c>
    </row>
    <row r="11" spans="1:26" ht="15.75" customHeight="1" x14ac:dyDescent="0.15">
      <c r="A11" s="127">
        <v>5</v>
      </c>
      <c r="B11" s="358">
        <v>378078431368</v>
      </c>
      <c r="C11" s="359"/>
      <c r="D11" s="359"/>
      <c r="E11" s="359"/>
      <c r="F11" s="360"/>
      <c r="G11" s="214">
        <v>4</v>
      </c>
      <c r="H11" s="215">
        <v>16.399999999999999</v>
      </c>
      <c r="I11" s="216"/>
      <c r="J11" s="133"/>
      <c r="K11" s="214" t="s">
        <v>316</v>
      </c>
      <c r="L11" s="134"/>
      <c r="M11" s="134">
        <v>60</v>
      </c>
      <c r="N11" s="212">
        <f t="shared" si="0"/>
        <v>60</v>
      </c>
      <c r="O11" s="220">
        <v>23.9</v>
      </c>
      <c r="P11" s="214">
        <v>30</v>
      </c>
      <c r="Q11" s="214">
        <v>1863</v>
      </c>
      <c r="R11" s="214">
        <v>3</v>
      </c>
      <c r="S11" s="214">
        <v>0</v>
      </c>
      <c r="T11" s="208" t="str">
        <f t="shared" si="1"/>
        <v xml:space="preserve">Schkeuditz Luftfracht </v>
      </c>
      <c r="U11" s="214">
        <v>100</v>
      </c>
      <c r="V11" s="214" t="s">
        <v>306</v>
      </c>
      <c r="W11" s="222" t="s">
        <v>307</v>
      </c>
      <c r="X11" s="138">
        <f>'Formeln Rdx'!AN11</f>
        <v>0</v>
      </c>
      <c r="Y11" s="101" t="str">
        <f t="shared" si="2"/>
        <v>OK</v>
      </c>
      <c r="Z11" s="101" t="str">
        <f t="shared" si="3"/>
        <v>NOK</v>
      </c>
    </row>
    <row r="12" spans="1:26" ht="15.75" customHeight="1" x14ac:dyDescent="0.15">
      <c r="A12" s="127">
        <v>6</v>
      </c>
      <c r="B12" s="358">
        <v>378478296023</v>
      </c>
      <c r="C12" s="359"/>
      <c r="D12" s="359"/>
      <c r="E12" s="359"/>
      <c r="F12" s="360"/>
      <c r="G12" s="214">
        <v>4</v>
      </c>
      <c r="H12" s="215">
        <v>16.690000000000001</v>
      </c>
      <c r="I12" s="216"/>
      <c r="J12" s="133"/>
      <c r="K12" s="214" t="s">
        <v>316</v>
      </c>
      <c r="L12" s="134">
        <v>59</v>
      </c>
      <c r="M12" s="134"/>
      <c r="N12" s="212">
        <f t="shared" si="0"/>
        <v>59</v>
      </c>
      <c r="O12" s="220">
        <v>22.1</v>
      </c>
      <c r="P12" s="214">
        <v>30</v>
      </c>
      <c r="Q12" s="214">
        <v>1863</v>
      </c>
      <c r="R12" s="214">
        <v>3</v>
      </c>
      <c r="S12" s="214">
        <v>0</v>
      </c>
      <c r="T12" s="208" t="str">
        <f t="shared" si="1"/>
        <v xml:space="preserve">Schkeuditz Luftfracht </v>
      </c>
      <c r="U12" s="214">
        <v>100</v>
      </c>
      <c r="V12" s="214" t="s">
        <v>306</v>
      </c>
      <c r="W12" s="222" t="s">
        <v>307</v>
      </c>
      <c r="X12" s="138">
        <f>'Formeln Rdx'!AN12</f>
        <v>0</v>
      </c>
      <c r="Y12" s="101" t="str">
        <f t="shared" si="2"/>
        <v>OK</v>
      </c>
      <c r="Z12" s="101" t="str">
        <f t="shared" si="3"/>
        <v>NOK</v>
      </c>
    </row>
    <row r="13" spans="1:26" ht="15.75" customHeight="1" x14ac:dyDescent="0.15">
      <c r="A13" s="127">
        <v>7</v>
      </c>
      <c r="B13" s="358">
        <v>378078431046</v>
      </c>
      <c r="C13" s="359"/>
      <c r="D13" s="359"/>
      <c r="E13" s="359"/>
      <c r="F13" s="360"/>
      <c r="G13" s="214">
        <v>4</v>
      </c>
      <c r="H13" s="215">
        <v>16.399999999999999</v>
      </c>
      <c r="I13" s="216"/>
      <c r="J13" s="133"/>
      <c r="K13" s="214" t="s">
        <v>316</v>
      </c>
      <c r="L13" s="134">
        <v>60</v>
      </c>
      <c r="M13" s="134"/>
      <c r="N13" s="212">
        <f>L13+M13</f>
        <v>60</v>
      </c>
      <c r="O13" s="220">
        <v>23.9</v>
      </c>
      <c r="P13" s="214">
        <v>30</v>
      </c>
      <c r="Q13" s="214">
        <v>1863</v>
      </c>
      <c r="R13" s="214">
        <v>3</v>
      </c>
      <c r="S13" s="214">
        <v>0</v>
      </c>
      <c r="T13" s="208" t="str">
        <f t="shared" si="1"/>
        <v xml:space="preserve">Schkeuditz Luftfracht </v>
      </c>
      <c r="U13" s="214">
        <v>100</v>
      </c>
      <c r="V13" s="214" t="s">
        <v>306</v>
      </c>
      <c r="W13" s="222" t="s">
        <v>307</v>
      </c>
      <c r="X13" s="138">
        <f>'Formeln Rdx'!AN13</f>
        <v>0</v>
      </c>
      <c r="Y13" s="101" t="str">
        <f t="shared" si="2"/>
        <v>OK</v>
      </c>
      <c r="Z13" s="101" t="str">
        <f t="shared" si="3"/>
        <v>NOK</v>
      </c>
    </row>
    <row r="14" spans="1:26" ht="15.75" customHeight="1" x14ac:dyDescent="0.15">
      <c r="A14" s="127">
        <v>8</v>
      </c>
      <c r="B14" s="358">
        <v>378078308749</v>
      </c>
      <c r="C14" s="359"/>
      <c r="D14" s="359"/>
      <c r="E14" s="359"/>
      <c r="F14" s="360"/>
      <c r="G14" s="214">
        <v>4</v>
      </c>
      <c r="H14" s="215">
        <v>16.399999999999999</v>
      </c>
      <c r="I14" s="216"/>
      <c r="J14" s="133"/>
      <c r="K14" s="214" t="s">
        <v>316</v>
      </c>
      <c r="L14" s="134">
        <v>58</v>
      </c>
      <c r="M14" s="134"/>
      <c r="N14" s="212">
        <f t="shared" ref="N14:N36" si="4">L14+M14</f>
        <v>58</v>
      </c>
      <c r="O14" s="220">
        <v>20.2</v>
      </c>
      <c r="P14" s="214">
        <v>30</v>
      </c>
      <c r="Q14" s="214">
        <v>1863</v>
      </c>
      <c r="R14" s="214">
        <v>3</v>
      </c>
      <c r="S14" s="214">
        <v>0</v>
      </c>
      <c r="T14" s="208" t="str">
        <f t="shared" si="1"/>
        <v xml:space="preserve">Schkeuditz Luftfracht </v>
      </c>
      <c r="U14" s="214">
        <v>100</v>
      </c>
      <c r="V14" s="214" t="s">
        <v>306</v>
      </c>
      <c r="W14" s="222" t="s">
        <v>307</v>
      </c>
      <c r="X14" s="138">
        <f>'Formeln Rdx'!AN14</f>
        <v>0</v>
      </c>
      <c r="Y14" s="101" t="str">
        <f t="shared" si="2"/>
        <v>OK</v>
      </c>
      <c r="Z14" s="101" t="str">
        <f t="shared" si="3"/>
        <v>NOK</v>
      </c>
    </row>
    <row r="15" spans="1:26" ht="15.75" customHeight="1" x14ac:dyDescent="0.15">
      <c r="A15" s="127">
        <v>9</v>
      </c>
      <c r="B15" s="358">
        <v>378078308970</v>
      </c>
      <c r="C15" s="359"/>
      <c r="D15" s="359"/>
      <c r="E15" s="359"/>
      <c r="F15" s="360"/>
      <c r="G15" s="214">
        <v>4</v>
      </c>
      <c r="H15" s="215">
        <v>16.399999999999999</v>
      </c>
      <c r="I15" s="216"/>
      <c r="J15" s="133"/>
      <c r="K15" s="214" t="s">
        <v>316</v>
      </c>
      <c r="L15" s="134">
        <v>58</v>
      </c>
      <c r="M15" s="134"/>
      <c r="N15" s="212">
        <f t="shared" si="4"/>
        <v>58</v>
      </c>
      <c r="O15" s="220">
        <v>20.2</v>
      </c>
      <c r="P15" s="214">
        <v>30</v>
      </c>
      <c r="Q15" s="214">
        <v>1863</v>
      </c>
      <c r="R15" s="214">
        <v>3</v>
      </c>
      <c r="S15" s="214">
        <v>0</v>
      </c>
      <c r="T15" s="208" t="str">
        <f t="shared" si="1"/>
        <v xml:space="preserve">Schkeuditz Luftfracht </v>
      </c>
      <c r="U15" s="214">
        <v>100</v>
      </c>
      <c r="V15" s="214" t="s">
        <v>306</v>
      </c>
      <c r="W15" s="222" t="s">
        <v>307</v>
      </c>
      <c r="X15" s="138">
        <f>'Formeln Rdx'!AN15</f>
        <v>0</v>
      </c>
      <c r="Y15" s="101" t="str">
        <f t="shared" si="2"/>
        <v>OK</v>
      </c>
      <c r="Z15" s="101" t="str">
        <f t="shared" si="3"/>
        <v>NOK</v>
      </c>
    </row>
    <row r="16" spans="1:26" ht="15.75" customHeight="1" thickBot="1" x14ac:dyDescent="0.2">
      <c r="A16" s="127">
        <v>10</v>
      </c>
      <c r="B16" s="358">
        <v>378079291522</v>
      </c>
      <c r="C16" s="359"/>
      <c r="D16" s="359"/>
      <c r="E16" s="359"/>
      <c r="F16" s="360"/>
      <c r="G16" s="214">
        <v>4</v>
      </c>
      <c r="H16" s="215">
        <v>16.399999999999999</v>
      </c>
      <c r="I16" s="216"/>
      <c r="J16" s="133"/>
      <c r="K16" s="214" t="s">
        <v>316</v>
      </c>
      <c r="L16" s="134">
        <v>58</v>
      </c>
      <c r="M16" s="134"/>
      <c r="N16" s="212">
        <f t="shared" si="4"/>
        <v>58</v>
      </c>
      <c r="O16" s="220">
        <v>20</v>
      </c>
      <c r="P16" s="214">
        <v>30</v>
      </c>
      <c r="Q16" s="214">
        <v>1863</v>
      </c>
      <c r="R16" s="214">
        <v>3</v>
      </c>
      <c r="S16" s="214">
        <v>0</v>
      </c>
      <c r="T16" s="208" t="str">
        <f t="shared" si="1"/>
        <v xml:space="preserve">Schkeuditz Luftfracht </v>
      </c>
      <c r="U16" s="214">
        <v>100</v>
      </c>
      <c r="V16" s="214" t="s">
        <v>306</v>
      </c>
      <c r="W16" s="222" t="s">
        <v>307</v>
      </c>
      <c r="X16" s="138">
        <f>'Formeln Rdx'!AN16</f>
        <v>0</v>
      </c>
      <c r="Y16" s="101" t="str">
        <f t="shared" si="2"/>
        <v>OK</v>
      </c>
      <c r="Z16" s="101" t="str">
        <f t="shared" si="3"/>
        <v>NOK</v>
      </c>
    </row>
    <row r="17" spans="1:26" ht="15.75" customHeight="1" x14ac:dyDescent="0.15">
      <c r="A17" s="128">
        <v>11</v>
      </c>
      <c r="B17" s="358">
        <v>378078431459</v>
      </c>
      <c r="C17" s="359"/>
      <c r="D17" s="359"/>
      <c r="E17" s="359"/>
      <c r="F17" s="360"/>
      <c r="G17" s="214">
        <v>4</v>
      </c>
      <c r="H17" s="215">
        <v>16.399999999999999</v>
      </c>
      <c r="I17" s="216"/>
      <c r="J17" s="133"/>
      <c r="K17" s="214" t="s">
        <v>316</v>
      </c>
      <c r="L17" s="134">
        <v>60</v>
      </c>
      <c r="M17" s="134"/>
      <c r="N17" s="212">
        <f t="shared" si="4"/>
        <v>60</v>
      </c>
      <c r="O17" s="220">
        <v>23.9</v>
      </c>
      <c r="P17" s="214">
        <v>30</v>
      </c>
      <c r="Q17" s="214">
        <v>1863</v>
      </c>
      <c r="R17" s="214">
        <v>3</v>
      </c>
      <c r="S17" s="214">
        <v>0</v>
      </c>
      <c r="T17" s="208" t="str">
        <f t="shared" si="1"/>
        <v xml:space="preserve">Schkeuditz Luftfracht </v>
      </c>
      <c r="U17" s="214">
        <v>100</v>
      </c>
      <c r="V17" s="214" t="s">
        <v>306</v>
      </c>
      <c r="W17" s="222" t="s">
        <v>307</v>
      </c>
      <c r="X17" s="138">
        <f>'Formeln Rdx'!AN17</f>
        <v>0</v>
      </c>
      <c r="Y17" s="101" t="str">
        <f t="shared" si="2"/>
        <v>OK</v>
      </c>
      <c r="Z17" s="101" t="str">
        <f t="shared" si="3"/>
        <v>NOK</v>
      </c>
    </row>
    <row r="18" spans="1:26" ht="15.75" customHeight="1" x14ac:dyDescent="0.15">
      <c r="A18" s="127">
        <v>12</v>
      </c>
      <c r="B18" s="358">
        <v>378478296239</v>
      </c>
      <c r="C18" s="359"/>
      <c r="D18" s="359"/>
      <c r="E18" s="359"/>
      <c r="F18" s="360"/>
      <c r="G18" s="214">
        <v>4</v>
      </c>
      <c r="H18" s="215">
        <v>16.690000000000001</v>
      </c>
      <c r="I18" s="216"/>
      <c r="J18" s="133"/>
      <c r="K18" s="214" t="s">
        <v>316</v>
      </c>
      <c r="L18" s="134">
        <v>59</v>
      </c>
      <c r="M18" s="134"/>
      <c r="N18" s="212">
        <f t="shared" si="4"/>
        <v>59</v>
      </c>
      <c r="O18" s="220">
        <v>22.1</v>
      </c>
      <c r="P18" s="214">
        <v>30</v>
      </c>
      <c r="Q18" s="214">
        <v>1863</v>
      </c>
      <c r="R18" s="214">
        <v>3</v>
      </c>
      <c r="S18" s="214">
        <v>0</v>
      </c>
      <c r="T18" s="208" t="str">
        <f t="shared" si="1"/>
        <v xml:space="preserve">Schkeuditz Luftfracht </v>
      </c>
      <c r="U18" s="214">
        <v>100</v>
      </c>
      <c r="V18" s="214" t="s">
        <v>306</v>
      </c>
      <c r="W18" s="222" t="s">
        <v>307</v>
      </c>
      <c r="X18" s="138">
        <f>'Formeln Rdx'!AN18</f>
        <v>0</v>
      </c>
      <c r="Y18" s="101" t="str">
        <f t="shared" si="2"/>
        <v>OK</v>
      </c>
      <c r="Z18" s="101" t="str">
        <f t="shared" si="3"/>
        <v>NOK</v>
      </c>
    </row>
    <row r="19" spans="1:26" ht="15.75" customHeight="1" x14ac:dyDescent="0.15">
      <c r="A19" s="127">
        <v>13</v>
      </c>
      <c r="B19" s="358">
        <v>378078308723</v>
      </c>
      <c r="C19" s="359"/>
      <c r="D19" s="359"/>
      <c r="E19" s="359"/>
      <c r="F19" s="360"/>
      <c r="G19" s="214">
        <v>4</v>
      </c>
      <c r="H19" s="215">
        <v>16.399999999999999</v>
      </c>
      <c r="I19" s="216"/>
      <c r="J19" s="133"/>
      <c r="K19" s="214" t="s">
        <v>316</v>
      </c>
      <c r="L19" s="134">
        <v>58</v>
      </c>
      <c r="M19" s="134"/>
      <c r="N19" s="212">
        <f t="shared" si="4"/>
        <v>58</v>
      </c>
      <c r="O19" s="220">
        <v>20.2</v>
      </c>
      <c r="P19" s="214">
        <v>30</v>
      </c>
      <c r="Q19" s="214">
        <v>1863</v>
      </c>
      <c r="R19" s="214">
        <v>3</v>
      </c>
      <c r="S19" s="214">
        <v>0</v>
      </c>
      <c r="T19" s="208" t="str">
        <f t="shared" si="1"/>
        <v xml:space="preserve">Schkeuditz Luftfracht </v>
      </c>
      <c r="U19" s="214">
        <v>100</v>
      </c>
      <c r="V19" s="214" t="s">
        <v>306</v>
      </c>
      <c r="W19" s="222" t="s">
        <v>307</v>
      </c>
      <c r="X19" s="138">
        <f>'Formeln Rdx'!AN19</f>
        <v>0</v>
      </c>
      <c r="Y19" s="101" t="str">
        <f t="shared" si="2"/>
        <v>OK</v>
      </c>
      <c r="Z19" s="101" t="str">
        <f t="shared" si="3"/>
        <v>NOK</v>
      </c>
    </row>
    <row r="20" spans="1:26" ht="15.75" customHeight="1" x14ac:dyDescent="0.15">
      <c r="A20" s="127">
        <v>14</v>
      </c>
      <c r="B20" s="358">
        <v>338078369851</v>
      </c>
      <c r="C20" s="359"/>
      <c r="D20" s="359"/>
      <c r="E20" s="359"/>
      <c r="F20" s="360"/>
      <c r="G20" s="214">
        <v>4</v>
      </c>
      <c r="H20" s="215">
        <v>16.690000000000001</v>
      </c>
      <c r="I20" s="216"/>
      <c r="J20" s="133"/>
      <c r="K20" s="214" t="s">
        <v>316</v>
      </c>
      <c r="L20" s="134">
        <v>60</v>
      </c>
      <c r="M20" s="134"/>
      <c r="N20" s="212">
        <f t="shared" si="4"/>
        <v>60</v>
      </c>
      <c r="O20" s="220">
        <v>22.1</v>
      </c>
      <c r="P20" s="214">
        <v>30</v>
      </c>
      <c r="Q20" s="214">
        <v>1863</v>
      </c>
      <c r="R20" s="214">
        <v>3</v>
      </c>
      <c r="S20" s="214">
        <v>0</v>
      </c>
      <c r="T20" s="208" t="str">
        <f t="shared" si="1"/>
        <v xml:space="preserve">Schkeuditz Luftfracht </v>
      </c>
      <c r="U20" s="214">
        <v>100</v>
      </c>
      <c r="V20" s="214" t="s">
        <v>306</v>
      </c>
      <c r="W20" s="222" t="s">
        <v>307</v>
      </c>
      <c r="X20" s="138">
        <f>'Formeln Rdx'!AN20</f>
        <v>0</v>
      </c>
      <c r="Y20" s="101" t="str">
        <f t="shared" si="2"/>
        <v>OK</v>
      </c>
      <c r="Z20" s="101" t="str">
        <f t="shared" si="3"/>
        <v>NOK</v>
      </c>
    </row>
    <row r="21" spans="1:26" ht="15.75" customHeight="1" x14ac:dyDescent="0.15">
      <c r="A21" s="127">
        <v>15</v>
      </c>
      <c r="B21" s="358">
        <v>338078369836</v>
      </c>
      <c r="C21" s="359"/>
      <c r="D21" s="359"/>
      <c r="E21" s="359"/>
      <c r="F21" s="360"/>
      <c r="G21" s="214">
        <v>4</v>
      </c>
      <c r="H21" s="215">
        <v>16.600000000000001</v>
      </c>
      <c r="I21" s="216"/>
      <c r="J21" s="133"/>
      <c r="K21" s="214" t="s">
        <v>316</v>
      </c>
      <c r="L21" s="134">
        <v>60</v>
      </c>
      <c r="M21" s="134"/>
      <c r="N21" s="212">
        <f t="shared" si="4"/>
        <v>60</v>
      </c>
      <c r="O21" s="230">
        <v>23.1</v>
      </c>
      <c r="P21" s="214">
        <v>30</v>
      </c>
      <c r="Q21" s="214">
        <v>1863</v>
      </c>
      <c r="R21" s="214">
        <v>3</v>
      </c>
      <c r="S21" s="214">
        <v>0</v>
      </c>
      <c r="T21" s="208" t="str">
        <f t="shared" si="1"/>
        <v xml:space="preserve">Schkeuditz Luftfracht </v>
      </c>
      <c r="U21" s="214">
        <v>100</v>
      </c>
      <c r="V21" s="214" t="s">
        <v>306</v>
      </c>
      <c r="W21" s="222" t="s">
        <v>307</v>
      </c>
      <c r="X21" s="138">
        <f>'Formeln Rdx'!AN21</f>
        <v>0</v>
      </c>
      <c r="Y21" s="101" t="str">
        <f t="shared" si="2"/>
        <v>OK</v>
      </c>
      <c r="Z21" s="101" t="str">
        <f t="shared" si="3"/>
        <v>NOK</v>
      </c>
    </row>
    <row r="22" spans="1:26" ht="15.75" customHeight="1" x14ac:dyDescent="0.15">
      <c r="A22" s="127">
        <v>16</v>
      </c>
      <c r="B22" s="358">
        <v>378478296288</v>
      </c>
      <c r="C22" s="359"/>
      <c r="D22" s="359"/>
      <c r="E22" s="359"/>
      <c r="F22" s="360"/>
      <c r="G22" s="214">
        <v>4</v>
      </c>
      <c r="H22" s="215">
        <v>16.690000000000001</v>
      </c>
      <c r="I22" s="216"/>
      <c r="J22" s="133"/>
      <c r="K22" s="214" t="s">
        <v>316</v>
      </c>
      <c r="L22" s="134">
        <v>59</v>
      </c>
      <c r="M22" s="134"/>
      <c r="N22" s="212">
        <f t="shared" si="4"/>
        <v>59</v>
      </c>
      <c r="O22" s="220">
        <v>22.1</v>
      </c>
      <c r="P22" s="214">
        <v>30</v>
      </c>
      <c r="Q22" s="214">
        <v>1863</v>
      </c>
      <c r="R22" s="214">
        <v>3</v>
      </c>
      <c r="S22" s="214">
        <v>0</v>
      </c>
      <c r="T22" s="208" t="str">
        <f t="shared" si="1"/>
        <v xml:space="preserve">Schkeuditz Luftfracht </v>
      </c>
      <c r="U22" s="214">
        <v>100</v>
      </c>
      <c r="V22" s="214" t="s">
        <v>306</v>
      </c>
      <c r="W22" s="222" t="s">
        <v>307</v>
      </c>
      <c r="X22" s="138">
        <f>'Formeln Rdx'!AN22</f>
        <v>0</v>
      </c>
      <c r="Y22" s="101" t="str">
        <f t="shared" si="2"/>
        <v>OK</v>
      </c>
      <c r="Z22" s="101" t="str">
        <f t="shared" si="3"/>
        <v>NOK</v>
      </c>
    </row>
    <row r="23" spans="1:26" ht="15.75" customHeight="1" x14ac:dyDescent="0.15">
      <c r="A23" s="127">
        <v>17</v>
      </c>
      <c r="B23" s="358">
        <v>335478460553</v>
      </c>
      <c r="C23" s="359"/>
      <c r="D23" s="359"/>
      <c r="E23" s="359"/>
      <c r="F23" s="360"/>
      <c r="G23" s="214">
        <v>4</v>
      </c>
      <c r="H23" s="215">
        <v>16.399999999999999</v>
      </c>
      <c r="I23" s="216"/>
      <c r="J23" s="133"/>
      <c r="K23" s="214" t="s">
        <v>316</v>
      </c>
      <c r="L23" s="134">
        <v>58</v>
      </c>
      <c r="M23" s="134"/>
      <c r="N23" s="212">
        <f t="shared" si="4"/>
        <v>58</v>
      </c>
      <c r="O23" s="220">
        <v>20.2</v>
      </c>
      <c r="P23" s="214">
        <v>30</v>
      </c>
      <c r="Q23" s="214">
        <v>1863</v>
      </c>
      <c r="R23" s="214">
        <v>3</v>
      </c>
      <c r="S23" s="214">
        <v>0</v>
      </c>
      <c r="T23" s="208" t="str">
        <f t="shared" si="1"/>
        <v xml:space="preserve">Schkeuditz Luftfracht </v>
      </c>
      <c r="U23" s="214">
        <v>100</v>
      </c>
      <c r="V23" s="214" t="s">
        <v>306</v>
      </c>
      <c r="W23" s="222" t="s">
        <v>307</v>
      </c>
      <c r="X23" s="138">
        <f>'Formeln Rdx'!AN23</f>
        <v>0</v>
      </c>
      <c r="Y23" s="101" t="str">
        <f t="shared" si="2"/>
        <v>OK</v>
      </c>
      <c r="Z23" s="101" t="str">
        <f t="shared" si="3"/>
        <v>NOK</v>
      </c>
    </row>
    <row r="24" spans="1:26" ht="15.75" customHeight="1" x14ac:dyDescent="0.15">
      <c r="A24" s="127">
        <v>18</v>
      </c>
      <c r="B24" s="358">
        <v>378478295926</v>
      </c>
      <c r="C24" s="359"/>
      <c r="D24" s="359"/>
      <c r="E24" s="359"/>
      <c r="F24" s="360"/>
      <c r="G24" s="214">
        <v>4</v>
      </c>
      <c r="H24" s="215">
        <v>16.690000000000001</v>
      </c>
      <c r="I24" s="216"/>
      <c r="J24" s="133"/>
      <c r="K24" s="214" t="s">
        <v>316</v>
      </c>
      <c r="L24" s="134">
        <v>59</v>
      </c>
      <c r="M24" s="134"/>
      <c r="N24" s="212">
        <f t="shared" si="4"/>
        <v>59</v>
      </c>
      <c r="O24" s="220">
        <v>22.1</v>
      </c>
      <c r="P24" s="214">
        <v>30</v>
      </c>
      <c r="Q24" s="214">
        <v>1863</v>
      </c>
      <c r="R24" s="214">
        <v>3</v>
      </c>
      <c r="S24" s="214">
        <v>0</v>
      </c>
      <c r="T24" s="208" t="str">
        <f t="shared" si="1"/>
        <v xml:space="preserve">Schkeuditz Luftfracht </v>
      </c>
      <c r="U24" s="214">
        <v>100</v>
      </c>
      <c r="V24" s="214" t="s">
        <v>306</v>
      </c>
      <c r="W24" s="222" t="s">
        <v>307</v>
      </c>
      <c r="X24" s="138">
        <f>'Formeln Rdx'!AN24</f>
        <v>0</v>
      </c>
      <c r="Y24" s="101" t="str">
        <f t="shared" si="2"/>
        <v>OK</v>
      </c>
      <c r="Z24" s="101" t="str">
        <f t="shared" si="3"/>
        <v>NOK</v>
      </c>
    </row>
    <row r="25" spans="1:26" ht="15.75" customHeight="1" x14ac:dyDescent="0.15">
      <c r="A25" s="127">
        <v>19</v>
      </c>
      <c r="B25" s="358">
        <v>378478296718</v>
      </c>
      <c r="C25" s="359"/>
      <c r="D25" s="359"/>
      <c r="E25" s="359"/>
      <c r="F25" s="360"/>
      <c r="G25" s="214">
        <v>4</v>
      </c>
      <c r="H25" s="215">
        <v>16.690000000000001</v>
      </c>
      <c r="I25" s="216"/>
      <c r="J25" s="133"/>
      <c r="K25" s="214" t="s">
        <v>316</v>
      </c>
      <c r="L25" s="134">
        <v>59</v>
      </c>
      <c r="M25" s="134"/>
      <c r="N25" s="212">
        <f t="shared" si="4"/>
        <v>59</v>
      </c>
      <c r="O25" s="220">
        <v>21.1</v>
      </c>
      <c r="P25" s="214">
        <v>30</v>
      </c>
      <c r="Q25" s="214">
        <v>1863</v>
      </c>
      <c r="R25" s="214">
        <v>3</v>
      </c>
      <c r="S25" s="214">
        <v>0</v>
      </c>
      <c r="T25" s="208" t="str">
        <f t="shared" si="1"/>
        <v xml:space="preserve">Schkeuditz Luftfracht </v>
      </c>
      <c r="U25" s="214">
        <v>100</v>
      </c>
      <c r="V25" s="214" t="s">
        <v>306</v>
      </c>
      <c r="W25" s="222" t="s">
        <v>307</v>
      </c>
      <c r="X25" s="138">
        <f>'Formeln Rdx'!AN25</f>
        <v>0</v>
      </c>
      <c r="Y25" s="101" t="str">
        <f t="shared" si="2"/>
        <v>OK</v>
      </c>
      <c r="Z25" s="101" t="str">
        <f t="shared" si="3"/>
        <v>NOK</v>
      </c>
    </row>
    <row r="26" spans="1:26" ht="15.75" customHeight="1" thickBot="1" x14ac:dyDescent="0.2">
      <c r="A26" s="129">
        <v>20</v>
      </c>
      <c r="B26" s="358">
        <v>378079297701</v>
      </c>
      <c r="C26" s="359"/>
      <c r="D26" s="359"/>
      <c r="E26" s="359"/>
      <c r="F26" s="360"/>
      <c r="G26" s="214">
        <v>4</v>
      </c>
      <c r="H26" s="215">
        <v>16.399999999999999</v>
      </c>
      <c r="I26" s="216"/>
      <c r="J26" s="133"/>
      <c r="K26" s="214" t="s">
        <v>316</v>
      </c>
      <c r="L26" s="134">
        <v>59</v>
      </c>
      <c r="M26" s="134"/>
      <c r="N26" s="212">
        <f t="shared" si="4"/>
        <v>59</v>
      </c>
      <c r="O26" s="220">
        <v>23.8</v>
      </c>
      <c r="P26" s="214">
        <v>30</v>
      </c>
      <c r="Q26" s="214">
        <v>1863</v>
      </c>
      <c r="R26" s="214">
        <v>3</v>
      </c>
      <c r="S26" s="214">
        <v>0</v>
      </c>
      <c r="T26" s="208" t="str">
        <f t="shared" si="1"/>
        <v xml:space="preserve">Schkeuditz Luftfracht </v>
      </c>
      <c r="U26" s="214">
        <v>100</v>
      </c>
      <c r="V26" s="214" t="s">
        <v>306</v>
      </c>
      <c r="W26" s="222" t="s">
        <v>307</v>
      </c>
      <c r="X26" s="138">
        <f>'Formeln Rdx'!AN26</f>
        <v>0</v>
      </c>
      <c r="Y26" s="101" t="str">
        <f t="shared" si="2"/>
        <v>OK</v>
      </c>
      <c r="Z26" s="101" t="str">
        <f t="shared" si="3"/>
        <v>NOK</v>
      </c>
    </row>
    <row r="27" spans="1:26" ht="15.75" customHeight="1" x14ac:dyDescent="0.15">
      <c r="A27" s="130">
        <v>21</v>
      </c>
      <c r="B27" s="358"/>
      <c r="C27" s="359"/>
      <c r="D27" s="359"/>
      <c r="E27" s="359"/>
      <c r="F27" s="360"/>
      <c r="G27" s="214"/>
      <c r="H27" s="215"/>
      <c r="I27" s="216"/>
      <c r="J27" s="133"/>
      <c r="K27" s="214"/>
      <c r="L27" s="135"/>
      <c r="M27" s="134"/>
      <c r="N27" s="212">
        <f t="shared" si="4"/>
        <v>0</v>
      </c>
      <c r="O27" s="220"/>
      <c r="P27" s="214"/>
      <c r="Q27" s="214"/>
      <c r="R27" s="214"/>
      <c r="S27" s="132"/>
      <c r="T27" s="208" t="str">
        <f t="shared" si="1"/>
        <v/>
      </c>
      <c r="U27" s="214">
        <v>100</v>
      </c>
      <c r="V27" s="214" t="s">
        <v>306</v>
      </c>
      <c r="W27" s="222" t="s">
        <v>307</v>
      </c>
      <c r="X27" s="138">
        <f>'Formeln Rdx'!AN27</f>
        <v>0</v>
      </c>
      <c r="Y27" s="101" t="str">
        <f t="shared" si="2"/>
        <v>NOK</v>
      </c>
      <c r="Z27" s="101" t="str">
        <f t="shared" si="3"/>
        <v>NOK</v>
      </c>
    </row>
    <row r="28" spans="1:26" ht="15.75" customHeight="1" x14ac:dyDescent="0.15">
      <c r="A28" s="131">
        <v>22</v>
      </c>
      <c r="B28" s="358"/>
      <c r="C28" s="359"/>
      <c r="D28" s="359"/>
      <c r="E28" s="359"/>
      <c r="F28" s="360"/>
      <c r="G28" s="214"/>
      <c r="H28" s="215"/>
      <c r="I28" s="216"/>
      <c r="J28" s="133"/>
      <c r="K28" s="214"/>
      <c r="L28" s="135"/>
      <c r="M28" s="134"/>
      <c r="N28" s="212">
        <f t="shared" si="4"/>
        <v>0</v>
      </c>
      <c r="O28" s="220"/>
      <c r="P28" s="214"/>
      <c r="Q28" s="214"/>
      <c r="R28" s="214"/>
      <c r="S28" s="132"/>
      <c r="T28" s="208" t="str">
        <f t="shared" si="1"/>
        <v/>
      </c>
      <c r="U28" s="214">
        <v>100</v>
      </c>
      <c r="V28" s="214" t="s">
        <v>306</v>
      </c>
      <c r="W28" s="222" t="s">
        <v>307</v>
      </c>
      <c r="X28" s="138">
        <f>'Formeln Rdx'!AN28</f>
        <v>0</v>
      </c>
      <c r="Y28" s="101" t="str">
        <f t="shared" si="2"/>
        <v>NOK</v>
      </c>
      <c r="Z28" s="101" t="str">
        <f t="shared" si="3"/>
        <v>NOK</v>
      </c>
    </row>
    <row r="29" spans="1:26" ht="15.75" customHeight="1" x14ac:dyDescent="0.15">
      <c r="A29" s="131">
        <v>23</v>
      </c>
      <c r="B29" s="358"/>
      <c r="C29" s="359"/>
      <c r="D29" s="359"/>
      <c r="E29" s="359"/>
      <c r="F29" s="360"/>
      <c r="G29" s="214"/>
      <c r="H29" s="215"/>
      <c r="I29" s="216"/>
      <c r="J29" s="133"/>
      <c r="K29" s="214"/>
      <c r="L29" s="135"/>
      <c r="M29" s="134"/>
      <c r="N29" s="212">
        <f t="shared" si="4"/>
        <v>0</v>
      </c>
      <c r="O29" s="220"/>
      <c r="P29" s="214"/>
      <c r="Q29" s="214"/>
      <c r="R29" s="214"/>
      <c r="S29" s="132"/>
      <c r="T29" s="208" t="str">
        <f t="shared" si="1"/>
        <v/>
      </c>
      <c r="U29" s="214">
        <v>100</v>
      </c>
      <c r="V29" s="214" t="s">
        <v>306</v>
      </c>
      <c r="W29" s="222" t="s">
        <v>307</v>
      </c>
      <c r="X29" s="138">
        <f>'Formeln Rdx'!AN29</f>
        <v>0</v>
      </c>
      <c r="Y29" s="101" t="str">
        <f t="shared" si="2"/>
        <v>NOK</v>
      </c>
      <c r="Z29" s="101" t="str">
        <f t="shared" si="3"/>
        <v>NOK</v>
      </c>
    </row>
    <row r="30" spans="1:26" ht="15.75" customHeight="1" x14ac:dyDescent="0.15">
      <c r="A30" s="131">
        <v>24</v>
      </c>
      <c r="B30" s="358"/>
      <c r="C30" s="359"/>
      <c r="D30" s="359"/>
      <c r="E30" s="359"/>
      <c r="F30" s="360"/>
      <c r="G30" s="214"/>
      <c r="H30" s="215"/>
      <c r="I30" s="216"/>
      <c r="J30" s="133"/>
      <c r="K30" s="214"/>
      <c r="L30" s="134"/>
      <c r="M30" s="134"/>
      <c r="N30" s="212">
        <f t="shared" si="4"/>
        <v>0</v>
      </c>
      <c r="O30" s="220"/>
      <c r="P30" s="214"/>
      <c r="Q30" s="214"/>
      <c r="R30" s="214"/>
      <c r="S30" s="132"/>
      <c r="T30" s="208" t="str">
        <f t="shared" si="1"/>
        <v/>
      </c>
      <c r="U30" s="214">
        <v>100</v>
      </c>
      <c r="V30" s="214" t="s">
        <v>306</v>
      </c>
      <c r="W30" s="222" t="s">
        <v>307</v>
      </c>
      <c r="X30" s="138">
        <f>'Formeln Rdx'!AN30</f>
        <v>0</v>
      </c>
      <c r="Y30" s="101" t="str">
        <f t="shared" si="2"/>
        <v>NOK</v>
      </c>
      <c r="Z30" s="101" t="str">
        <f t="shared" si="3"/>
        <v>NOK</v>
      </c>
    </row>
    <row r="31" spans="1:26" ht="15.75" customHeight="1" x14ac:dyDescent="0.15">
      <c r="A31" s="131">
        <v>25</v>
      </c>
      <c r="B31" s="358"/>
      <c r="C31" s="359"/>
      <c r="D31" s="359"/>
      <c r="E31" s="359"/>
      <c r="F31" s="360"/>
      <c r="G31" s="214"/>
      <c r="H31" s="215"/>
      <c r="I31" s="216"/>
      <c r="J31" s="133"/>
      <c r="K31" s="214"/>
      <c r="L31" s="134"/>
      <c r="M31" s="134"/>
      <c r="N31" s="212">
        <f t="shared" si="4"/>
        <v>0</v>
      </c>
      <c r="O31" s="220"/>
      <c r="P31" s="214"/>
      <c r="Q31" s="214"/>
      <c r="R31" s="214"/>
      <c r="S31" s="132"/>
      <c r="T31" s="208" t="str">
        <f t="shared" si="1"/>
        <v/>
      </c>
      <c r="U31" s="214">
        <v>100</v>
      </c>
      <c r="V31" s="214" t="s">
        <v>306</v>
      </c>
      <c r="W31" s="222" t="s">
        <v>307</v>
      </c>
      <c r="X31" s="138">
        <f>'Formeln Rdx'!AN31</f>
        <v>0</v>
      </c>
      <c r="Y31" s="101" t="str">
        <f t="shared" si="2"/>
        <v>NOK</v>
      </c>
      <c r="Z31" s="101" t="str">
        <f t="shared" si="3"/>
        <v>NOK</v>
      </c>
    </row>
    <row r="32" spans="1:26" ht="15.75" customHeight="1" x14ac:dyDescent="0.15">
      <c r="A32" s="130">
        <v>26</v>
      </c>
      <c r="B32" s="358"/>
      <c r="C32" s="359"/>
      <c r="D32" s="359"/>
      <c r="E32" s="359"/>
      <c r="F32" s="360"/>
      <c r="G32" s="214"/>
      <c r="H32" s="215"/>
      <c r="I32" s="216"/>
      <c r="J32" s="133"/>
      <c r="K32" s="214"/>
      <c r="L32" s="135"/>
      <c r="M32" s="134"/>
      <c r="N32" s="212">
        <f t="shared" si="4"/>
        <v>0</v>
      </c>
      <c r="O32" s="220"/>
      <c r="P32" s="214"/>
      <c r="Q32" s="214"/>
      <c r="R32" s="214"/>
      <c r="S32" s="132"/>
      <c r="T32" s="208" t="str">
        <f t="shared" si="1"/>
        <v/>
      </c>
      <c r="U32" s="214">
        <v>100</v>
      </c>
      <c r="V32" s="214" t="s">
        <v>306</v>
      </c>
      <c r="W32" s="222" t="s">
        <v>307</v>
      </c>
      <c r="X32" s="138">
        <f>'Formeln Rdx'!AN32</f>
        <v>0</v>
      </c>
      <c r="Y32" s="101" t="str">
        <f t="shared" si="2"/>
        <v>NOK</v>
      </c>
      <c r="Z32" s="101" t="str">
        <f t="shared" si="3"/>
        <v>NOK</v>
      </c>
    </row>
    <row r="33" spans="1:26" ht="15.75" customHeight="1" x14ac:dyDescent="0.15">
      <c r="A33" s="131">
        <v>27</v>
      </c>
      <c r="B33" s="358"/>
      <c r="C33" s="359"/>
      <c r="D33" s="359"/>
      <c r="E33" s="359"/>
      <c r="F33" s="360"/>
      <c r="G33" s="214"/>
      <c r="H33" s="215"/>
      <c r="I33" s="216"/>
      <c r="J33" s="133"/>
      <c r="K33" s="214"/>
      <c r="L33" s="135"/>
      <c r="M33" s="134"/>
      <c r="N33" s="212">
        <f t="shared" si="4"/>
        <v>0</v>
      </c>
      <c r="O33" s="220"/>
      <c r="P33" s="214"/>
      <c r="Q33" s="214"/>
      <c r="R33" s="214"/>
      <c r="S33" s="132"/>
      <c r="T33" s="208" t="str">
        <f t="shared" si="1"/>
        <v/>
      </c>
      <c r="U33" s="214">
        <v>100</v>
      </c>
      <c r="V33" s="214" t="s">
        <v>306</v>
      </c>
      <c r="W33" s="222" t="s">
        <v>307</v>
      </c>
      <c r="X33" s="138">
        <f>'Formeln Rdx'!AN33</f>
        <v>0</v>
      </c>
      <c r="Y33" s="101" t="str">
        <f t="shared" si="2"/>
        <v>NOK</v>
      </c>
      <c r="Z33" s="101" t="str">
        <f t="shared" si="3"/>
        <v>NOK</v>
      </c>
    </row>
    <row r="34" spans="1:26" ht="15.75" customHeight="1" x14ac:dyDescent="0.15">
      <c r="A34" s="131">
        <v>28</v>
      </c>
      <c r="B34" s="358"/>
      <c r="C34" s="359"/>
      <c r="D34" s="359"/>
      <c r="E34" s="359"/>
      <c r="F34" s="360"/>
      <c r="G34" s="214"/>
      <c r="H34" s="215"/>
      <c r="I34" s="216"/>
      <c r="J34" s="133"/>
      <c r="K34" s="214"/>
      <c r="L34" s="135"/>
      <c r="M34" s="134"/>
      <c r="N34" s="212">
        <f t="shared" si="4"/>
        <v>0</v>
      </c>
      <c r="O34" s="220"/>
      <c r="P34" s="214"/>
      <c r="Q34" s="214"/>
      <c r="R34" s="214"/>
      <c r="S34" s="132"/>
      <c r="T34" s="208" t="str">
        <f t="shared" si="1"/>
        <v/>
      </c>
      <c r="U34" s="214">
        <v>100</v>
      </c>
      <c r="V34" s="214" t="s">
        <v>306</v>
      </c>
      <c r="W34" s="222" t="s">
        <v>307</v>
      </c>
      <c r="X34" s="138">
        <f>'Formeln Rdx'!AN34</f>
        <v>0</v>
      </c>
      <c r="Y34" s="101" t="str">
        <f t="shared" si="2"/>
        <v>NOK</v>
      </c>
      <c r="Z34" s="101" t="str">
        <f t="shared" si="3"/>
        <v>NOK</v>
      </c>
    </row>
    <row r="35" spans="1:26" ht="15.75" customHeight="1" x14ac:dyDescent="0.15">
      <c r="A35" s="131">
        <v>29</v>
      </c>
      <c r="B35" s="358"/>
      <c r="C35" s="359"/>
      <c r="D35" s="359"/>
      <c r="E35" s="359"/>
      <c r="F35" s="360"/>
      <c r="G35" s="214"/>
      <c r="H35" s="215"/>
      <c r="I35" s="216"/>
      <c r="J35" s="133"/>
      <c r="K35" s="214"/>
      <c r="L35" s="135"/>
      <c r="M35" s="134"/>
      <c r="N35" s="212">
        <f t="shared" si="4"/>
        <v>0</v>
      </c>
      <c r="O35" s="220"/>
      <c r="P35" s="214"/>
      <c r="Q35" s="214"/>
      <c r="R35" s="214"/>
      <c r="S35" s="132"/>
      <c r="T35" s="208" t="str">
        <f t="shared" si="1"/>
        <v/>
      </c>
      <c r="U35" s="214">
        <v>100</v>
      </c>
      <c r="V35" s="214" t="s">
        <v>306</v>
      </c>
      <c r="W35" s="222" t="s">
        <v>307</v>
      </c>
      <c r="X35" s="138">
        <f>'Formeln Rdx'!AN35</f>
        <v>0</v>
      </c>
      <c r="Y35" s="101" t="str">
        <f t="shared" si="2"/>
        <v>NOK</v>
      </c>
      <c r="Z35" s="101" t="str">
        <f t="shared" si="3"/>
        <v>NOK</v>
      </c>
    </row>
    <row r="36" spans="1:26" ht="15.75" customHeight="1" x14ac:dyDescent="0.15">
      <c r="A36" s="229">
        <v>30</v>
      </c>
      <c r="B36" s="358"/>
      <c r="C36" s="359"/>
      <c r="D36" s="359"/>
      <c r="E36" s="359"/>
      <c r="F36" s="360"/>
      <c r="G36" s="214"/>
      <c r="H36" s="215"/>
      <c r="I36" s="216"/>
      <c r="J36" s="133"/>
      <c r="K36" s="214"/>
      <c r="L36" s="136"/>
      <c r="M36" s="134"/>
      <c r="N36" s="212">
        <f t="shared" si="4"/>
        <v>0</v>
      </c>
      <c r="O36" s="220"/>
      <c r="P36" s="214"/>
      <c r="Q36" s="214"/>
      <c r="R36" s="214"/>
      <c r="S36" s="132"/>
      <c r="T36" s="208" t="str">
        <f t="shared" si="1"/>
        <v/>
      </c>
      <c r="U36" s="214">
        <v>100</v>
      </c>
      <c r="V36" s="214" t="s">
        <v>306</v>
      </c>
      <c r="W36" s="222" t="s">
        <v>307</v>
      </c>
      <c r="X36" s="138">
        <f>'Formeln Rdx'!AN36</f>
        <v>0</v>
      </c>
      <c r="Y36" s="101" t="str">
        <f t="shared" si="2"/>
        <v>NOK</v>
      </c>
      <c r="Z36" s="101" t="str">
        <f t="shared" si="3"/>
        <v>NOK</v>
      </c>
    </row>
    <row r="37" spans="1:26" ht="15.95" customHeight="1" x14ac:dyDescent="0.25">
      <c r="A37" s="228" t="s">
        <v>311</v>
      </c>
      <c r="B37" s="407">
        <f>COUNT(B7:F36)</f>
        <v>20</v>
      </c>
      <c r="C37" s="407"/>
      <c r="D37" s="407"/>
      <c r="E37" s="407"/>
      <c r="F37" s="407"/>
      <c r="G37" s="209">
        <f>SUM(G7:G36)</f>
        <v>80</v>
      </c>
      <c r="H37" s="209">
        <f>SUM(H7:H36)</f>
        <v>330.22999999999996</v>
      </c>
      <c r="I37" s="210">
        <f>SUM(I7:I36)</f>
        <v>66.3</v>
      </c>
      <c r="J37" s="142">
        <f>ROUNDUP(SUM(J7:J36),0)</f>
        <v>90</v>
      </c>
      <c r="K37" s="211">
        <f>COUNTA(K7:K36)</f>
        <v>20</v>
      </c>
      <c r="L37" s="140">
        <f>ROUNDDOWN(SUM(L7:L36),0)</f>
        <v>884</v>
      </c>
      <c r="M37" s="140">
        <f>SUM(M7:M36)</f>
        <v>298</v>
      </c>
      <c r="N37" s="140">
        <f>SUM(N7:N36)</f>
        <v>1182</v>
      </c>
      <c r="O37" s="210">
        <f>SUM(O7:O36)</f>
        <v>441.00000000000011</v>
      </c>
      <c r="P37" s="112"/>
      <c r="Q37" s="111"/>
      <c r="R37" s="111"/>
      <c r="S37" s="111"/>
      <c r="T37" s="111"/>
      <c r="U37" s="111"/>
      <c r="V37" s="111"/>
      <c r="W37" s="111"/>
    </row>
    <row r="38" spans="1:26" ht="15.95" customHeight="1" x14ac:dyDescent="0.15">
      <c r="A38" s="392"/>
      <c r="B38" s="393"/>
      <c r="C38" s="393"/>
      <c r="D38" s="393"/>
      <c r="E38" s="393"/>
      <c r="F38" s="393"/>
      <c r="G38" s="393"/>
      <c r="H38" s="393"/>
      <c r="I38" s="393"/>
      <c r="J38" s="393"/>
      <c r="K38" s="394"/>
      <c r="L38" s="140"/>
      <c r="M38" s="122">
        <v>-0.25</v>
      </c>
      <c r="N38" s="401"/>
      <c r="O38" s="402"/>
      <c r="P38" s="112"/>
      <c r="Q38" s="111"/>
      <c r="R38" s="111"/>
      <c r="S38" s="111"/>
      <c r="T38" s="111"/>
      <c r="U38" s="111"/>
      <c r="V38" s="111"/>
      <c r="W38" s="111"/>
    </row>
    <row r="39" spans="1:26" ht="14.1" customHeight="1" x14ac:dyDescent="0.15">
      <c r="A39" s="395"/>
      <c r="B39" s="396"/>
      <c r="C39" s="396"/>
      <c r="D39" s="396"/>
      <c r="E39" s="396"/>
      <c r="F39" s="396"/>
      <c r="G39" s="396"/>
      <c r="H39" s="396"/>
      <c r="I39" s="396"/>
      <c r="J39" s="396"/>
      <c r="K39" s="397"/>
      <c r="L39" s="141">
        <f>IF(L37&gt;0,L37*(100%+L38),L37)</f>
        <v>884</v>
      </c>
      <c r="M39" s="141">
        <f>IF(M37&gt;0,M37*(100%+M38),M37)</f>
        <v>223.5</v>
      </c>
      <c r="N39" s="403"/>
      <c r="O39" s="404"/>
      <c r="P39" s="110"/>
      <c r="Q39" s="110"/>
      <c r="R39" s="110"/>
      <c r="S39" s="110"/>
      <c r="T39" s="110"/>
      <c r="U39" s="110"/>
      <c r="V39" s="110"/>
      <c r="W39" s="110"/>
    </row>
    <row r="40" spans="1:26" ht="14.1" customHeight="1" x14ac:dyDescent="0.15">
      <c r="A40" s="398"/>
      <c r="B40" s="399"/>
      <c r="C40" s="399"/>
      <c r="D40" s="399"/>
      <c r="E40" s="399"/>
      <c r="F40" s="399"/>
      <c r="G40" s="399"/>
      <c r="H40" s="399"/>
      <c r="I40" s="399"/>
      <c r="J40" s="399"/>
      <c r="K40" s="400"/>
      <c r="L40" s="408">
        <f>L39+M39</f>
        <v>1107.5</v>
      </c>
      <c r="M40" s="408"/>
      <c r="N40" s="405"/>
      <c r="O40" s="406"/>
      <c r="P40" s="110"/>
      <c r="Q40" s="110"/>
      <c r="R40" s="110"/>
      <c r="S40" s="110"/>
      <c r="T40" s="110"/>
      <c r="U40" s="110"/>
      <c r="V40" s="110"/>
      <c r="W40" s="110"/>
    </row>
    <row r="41" spans="1:26" x14ac:dyDescent="0.15">
      <c r="A41" s="346" t="s">
        <v>253</v>
      </c>
      <c r="B41" s="347"/>
      <c r="C41" s="347"/>
      <c r="D41" s="347"/>
      <c r="E41" s="347"/>
      <c r="F41" s="347"/>
      <c r="G41" s="347" t="s">
        <v>254</v>
      </c>
      <c r="H41" s="347"/>
      <c r="I41" s="347"/>
      <c r="J41" s="347" t="s">
        <v>255</v>
      </c>
      <c r="K41" s="347"/>
      <c r="L41" s="347"/>
      <c r="M41" s="347"/>
      <c r="N41" s="348"/>
      <c r="O41" s="349"/>
      <c r="P41" s="109"/>
      <c r="Q41" s="109"/>
      <c r="R41" s="109"/>
      <c r="S41" s="109"/>
      <c r="T41" s="109"/>
      <c r="U41" s="109"/>
      <c r="V41" s="109"/>
      <c r="W41" s="109"/>
    </row>
    <row r="42" spans="1:26" ht="24.75" customHeight="1" thickBot="1" x14ac:dyDescent="0.2">
      <c r="A42" s="350" t="s">
        <v>317</v>
      </c>
      <c r="B42" s="351"/>
      <c r="C42" s="351"/>
      <c r="D42" s="351"/>
      <c r="E42" s="351"/>
      <c r="F42" s="352"/>
      <c r="G42" s="353">
        <v>0.11805555555555555</v>
      </c>
      <c r="H42" s="353"/>
      <c r="I42" s="353"/>
      <c r="J42" s="354" t="s">
        <v>312</v>
      </c>
      <c r="K42" s="354"/>
      <c r="L42" s="354"/>
      <c r="M42" s="354"/>
      <c r="N42" s="354"/>
      <c r="O42" s="354"/>
      <c r="P42" s="108"/>
      <c r="Q42" s="107"/>
      <c r="R42" s="107"/>
      <c r="S42" s="107"/>
      <c r="T42" s="107"/>
      <c r="U42" s="107"/>
      <c r="V42" s="107"/>
      <c r="W42" s="107"/>
    </row>
    <row r="43" spans="1:26" ht="18" customHeight="1" x14ac:dyDescent="0.15">
      <c r="A43" s="106"/>
      <c r="B43" s="106"/>
      <c r="C43" s="106"/>
      <c r="D43" s="106"/>
      <c r="E43" s="106"/>
      <c r="F43" s="106"/>
      <c r="G43" s="105"/>
      <c r="H43" s="105"/>
      <c r="I43" s="105"/>
      <c r="J43" s="104"/>
      <c r="K43" s="104"/>
      <c r="L43" s="104"/>
      <c r="M43" s="104"/>
      <c r="N43" s="104"/>
      <c r="O43" s="104"/>
      <c r="P43" s="103"/>
      <c r="Q43" s="103"/>
      <c r="R43" s="103"/>
      <c r="S43" s="103"/>
      <c r="T43" s="103"/>
      <c r="U43" s="103"/>
      <c r="V43" s="103"/>
      <c r="W43" s="103"/>
    </row>
    <row r="44" spans="1:26" ht="13.5" x14ac:dyDescent="0.15">
      <c r="A44" s="355" t="s">
        <v>256</v>
      </c>
      <c r="B44" s="356"/>
      <c r="C44" s="356"/>
      <c r="D44" s="356"/>
      <c r="E44" s="356"/>
      <c r="F44" s="356"/>
      <c r="G44" s="356"/>
      <c r="H44" s="356"/>
      <c r="I44" s="356"/>
      <c r="J44" s="356"/>
      <c r="K44" s="356"/>
      <c r="L44" s="356"/>
      <c r="M44" s="356"/>
      <c r="N44" s="356"/>
      <c r="O44" s="356"/>
      <c r="P44" s="356"/>
      <c r="Q44" s="356"/>
      <c r="R44" s="356"/>
      <c r="S44" s="356"/>
      <c r="T44" s="356"/>
      <c r="U44" s="356"/>
      <c r="V44" s="356"/>
      <c r="W44" s="357"/>
    </row>
    <row r="45" spans="1:26" ht="13.5" x14ac:dyDescent="0.15">
      <c r="A45" s="102">
        <v>45</v>
      </c>
      <c r="B45" s="345" t="s">
        <v>257</v>
      </c>
      <c r="C45" s="345"/>
      <c r="D45" s="345"/>
      <c r="E45" s="345"/>
      <c r="F45" s="345"/>
      <c r="G45" s="345"/>
      <c r="H45" s="345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</row>
    <row r="46" spans="1:26" ht="13.5" x14ac:dyDescent="0.15">
      <c r="A46" s="102">
        <v>46</v>
      </c>
      <c r="B46" s="345" t="s">
        <v>258</v>
      </c>
      <c r="C46" s="345"/>
      <c r="D46" s="345"/>
      <c r="E46" s="345"/>
      <c r="F46" s="345"/>
      <c r="G46" s="345"/>
      <c r="H46" s="345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</row>
    <row r="47" spans="1:26" ht="13.5" x14ac:dyDescent="0.15">
      <c r="A47" s="102">
        <v>47</v>
      </c>
      <c r="B47" s="345" t="s">
        <v>259</v>
      </c>
      <c r="C47" s="345"/>
      <c r="D47" s="345"/>
      <c r="E47" s="345"/>
      <c r="F47" s="345"/>
      <c r="G47" s="345"/>
      <c r="H47" s="345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</row>
    <row r="48" spans="1:26" ht="13.5" x14ac:dyDescent="0.15">
      <c r="A48" s="102">
        <v>48</v>
      </c>
      <c r="B48" s="345" t="s">
        <v>260</v>
      </c>
      <c r="C48" s="345"/>
      <c r="D48" s="345"/>
      <c r="E48" s="345"/>
      <c r="F48" s="345"/>
      <c r="G48" s="345"/>
      <c r="H48" s="345"/>
      <c r="I48" s="345"/>
      <c r="J48" s="345"/>
      <c r="K48" s="345"/>
      <c r="L48" s="345"/>
      <c r="M48" s="345"/>
      <c r="N48" s="345"/>
      <c r="O48" s="345"/>
      <c r="P48" s="345"/>
      <c r="Q48" s="345"/>
      <c r="R48" s="345"/>
      <c r="S48" s="345"/>
      <c r="T48" s="345"/>
      <c r="U48" s="345"/>
      <c r="V48" s="345"/>
      <c r="W48" s="345"/>
    </row>
    <row r="49" spans="1:23" ht="13.5" x14ac:dyDescent="0.15">
      <c r="A49" s="102">
        <v>49</v>
      </c>
      <c r="B49" s="345" t="s">
        <v>261</v>
      </c>
      <c r="C49" s="345"/>
      <c r="D49" s="345"/>
      <c r="E49" s="345"/>
      <c r="F49" s="345"/>
      <c r="G49" s="345"/>
      <c r="H49" s="345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</row>
    <row r="50" spans="1:23" ht="13.5" x14ac:dyDescent="0.15">
      <c r="A50" s="102">
        <v>50</v>
      </c>
      <c r="B50" s="345" t="s">
        <v>262</v>
      </c>
      <c r="C50" s="345"/>
      <c r="D50" s="345"/>
      <c r="E50" s="345"/>
      <c r="F50" s="345"/>
      <c r="G50" s="345"/>
      <c r="H50" s="345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</row>
    <row r="51" spans="1:23" ht="87.75" customHeight="1" x14ac:dyDescent="0.15">
      <c r="A51" s="102">
        <v>51</v>
      </c>
      <c r="B51" s="345" t="s">
        <v>263</v>
      </c>
      <c r="C51" s="345"/>
      <c r="D51" s="345"/>
      <c r="E51" s="345"/>
      <c r="F51" s="345"/>
      <c r="G51" s="345"/>
      <c r="H51" s="34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</row>
    <row r="52" spans="1:23" ht="44.45" customHeight="1" x14ac:dyDescent="0.15">
      <c r="A52" s="102">
        <v>52</v>
      </c>
      <c r="B52" s="345" t="s">
        <v>264</v>
      </c>
      <c r="C52" s="345"/>
      <c r="D52" s="345"/>
      <c r="E52" s="345"/>
      <c r="F52" s="345"/>
      <c r="G52" s="345"/>
      <c r="H52" s="345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</row>
    <row r="53" spans="1:23" ht="44.45" customHeight="1" x14ac:dyDescent="0.15">
      <c r="A53" s="102">
        <v>53</v>
      </c>
      <c r="B53" s="345" t="s">
        <v>264</v>
      </c>
      <c r="C53" s="345"/>
      <c r="D53" s="345"/>
      <c r="E53" s="345"/>
      <c r="F53" s="345"/>
      <c r="G53" s="345"/>
      <c r="H53" s="34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</row>
    <row r="54" spans="1:23" ht="13.7" customHeight="1" x14ac:dyDescent="0.15">
      <c r="A54" s="102">
        <v>53</v>
      </c>
      <c r="B54" s="345" t="s">
        <v>265</v>
      </c>
      <c r="C54" s="345"/>
      <c r="D54" s="345"/>
      <c r="E54" s="345"/>
      <c r="F54" s="345"/>
      <c r="G54" s="345"/>
      <c r="H54" s="345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</row>
    <row r="55" spans="1:23" ht="13.5" x14ac:dyDescent="0.15">
      <c r="A55" s="102">
        <v>54</v>
      </c>
      <c r="B55" s="345" t="s">
        <v>266</v>
      </c>
      <c r="C55" s="345"/>
      <c r="D55" s="345"/>
      <c r="E55" s="345"/>
      <c r="F55" s="345"/>
      <c r="G55" s="345"/>
      <c r="H55" s="345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</row>
    <row r="56" spans="1:23" ht="28.5" customHeight="1" x14ac:dyDescent="0.15">
      <c r="A56" s="102">
        <v>55</v>
      </c>
      <c r="B56" s="345" t="s">
        <v>267</v>
      </c>
      <c r="C56" s="345"/>
      <c r="D56" s="345"/>
      <c r="E56" s="345"/>
      <c r="F56" s="345"/>
      <c r="G56" s="345"/>
      <c r="H56" s="345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</row>
    <row r="57" spans="1:23" ht="29.25" customHeight="1" x14ac:dyDescent="0.15">
      <c r="A57" s="102">
        <v>56</v>
      </c>
      <c r="B57" s="345" t="s">
        <v>268</v>
      </c>
      <c r="C57" s="345"/>
      <c r="D57" s="345"/>
      <c r="E57" s="345"/>
      <c r="F57" s="345"/>
      <c r="G57" s="345"/>
      <c r="H57" s="345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</row>
    <row r="58" spans="1:23" ht="13.5" x14ac:dyDescent="0.15">
      <c r="A58" s="102">
        <v>57</v>
      </c>
      <c r="B58" s="345" t="s">
        <v>269</v>
      </c>
      <c r="C58" s="345"/>
      <c r="D58" s="345"/>
      <c r="E58" s="345"/>
      <c r="F58" s="345"/>
      <c r="G58" s="345"/>
      <c r="H58" s="345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</row>
    <row r="59" spans="1:23" ht="29.25" customHeight="1" x14ac:dyDescent="0.15">
      <c r="A59" s="102">
        <v>58</v>
      </c>
      <c r="B59" s="345" t="s">
        <v>270</v>
      </c>
      <c r="C59" s="345"/>
      <c r="D59" s="345"/>
      <c r="E59" s="345"/>
      <c r="F59" s="345"/>
      <c r="G59" s="345"/>
      <c r="H59" s="34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</row>
    <row r="60" spans="1:23" ht="13.5" x14ac:dyDescent="0.15">
      <c r="A60" s="102">
        <v>59</v>
      </c>
      <c r="B60" s="345" t="s">
        <v>271</v>
      </c>
      <c r="C60" s="345"/>
      <c r="D60" s="345"/>
      <c r="E60" s="345"/>
      <c r="F60" s="345"/>
      <c r="G60" s="345"/>
      <c r="H60" s="345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</row>
    <row r="61" spans="1:23" ht="29.25" customHeight="1" x14ac:dyDescent="0.15">
      <c r="A61" s="102">
        <v>60</v>
      </c>
      <c r="B61" s="345" t="s">
        <v>272</v>
      </c>
      <c r="C61" s="345"/>
      <c r="D61" s="345"/>
      <c r="E61" s="345"/>
      <c r="F61" s="345"/>
      <c r="G61" s="345"/>
      <c r="H61" s="34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</row>
    <row r="62" spans="1:23" ht="13.5" x14ac:dyDescent="0.15">
      <c r="A62" s="102">
        <v>61</v>
      </c>
      <c r="B62" s="345" t="s">
        <v>273</v>
      </c>
      <c r="C62" s="345"/>
      <c r="D62" s="345"/>
      <c r="E62" s="345"/>
      <c r="F62" s="345"/>
      <c r="G62" s="345"/>
      <c r="H62" s="345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</row>
    <row r="63" spans="1:23" ht="13.5" x14ac:dyDescent="0.15">
      <c r="A63" s="102">
        <v>62</v>
      </c>
      <c r="B63" s="345" t="s">
        <v>274</v>
      </c>
      <c r="C63" s="345"/>
      <c r="D63" s="345"/>
      <c r="E63" s="345"/>
      <c r="F63" s="345"/>
      <c r="G63" s="345"/>
      <c r="H63" s="34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</row>
    <row r="64" spans="1:23" ht="29.25" customHeight="1" x14ac:dyDescent="0.15">
      <c r="A64" s="102">
        <v>63</v>
      </c>
      <c r="B64" s="345" t="s">
        <v>275</v>
      </c>
      <c r="C64" s="345"/>
      <c r="D64" s="345"/>
      <c r="E64" s="345"/>
      <c r="F64" s="345"/>
      <c r="G64" s="345"/>
      <c r="H64" s="345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</row>
    <row r="65" ht="6.95" customHeight="1" x14ac:dyDescent="0.15"/>
  </sheetData>
  <sheetProtection selectLockedCells="1"/>
  <mergeCells count="87">
    <mergeCell ref="B23:F23"/>
    <mergeCell ref="B12:F12"/>
    <mergeCell ref="B11:F11"/>
    <mergeCell ref="B13:F13"/>
    <mergeCell ref="B10:F10"/>
    <mergeCell ref="B27:F27"/>
    <mergeCell ref="B28:F28"/>
    <mergeCell ref="B29:F29"/>
    <mergeCell ref="B30:F30"/>
    <mergeCell ref="B32:F32"/>
    <mergeCell ref="B33:F33"/>
    <mergeCell ref="A38:K40"/>
    <mergeCell ref="N38:O40"/>
    <mergeCell ref="B37:F37"/>
    <mergeCell ref="B31:F31"/>
    <mergeCell ref="L40:M40"/>
    <mergeCell ref="B34:F34"/>
    <mergeCell ref="B35:F35"/>
    <mergeCell ref="B36:F36"/>
    <mergeCell ref="U1:W1"/>
    <mergeCell ref="M2:O2"/>
    <mergeCell ref="P2:T2"/>
    <mergeCell ref="B25:F25"/>
    <mergeCell ref="B26:F26"/>
    <mergeCell ref="B5:F5"/>
    <mergeCell ref="B15:F15"/>
    <mergeCell ref="B18:F18"/>
    <mergeCell ref="B14:F14"/>
    <mergeCell ref="B24:F24"/>
    <mergeCell ref="B16:F16"/>
    <mergeCell ref="B17:F17"/>
    <mergeCell ref="B19:F19"/>
    <mergeCell ref="B20:F20"/>
    <mergeCell ref="B21:F21"/>
    <mergeCell ref="B22:F22"/>
    <mergeCell ref="U5:U6"/>
    <mergeCell ref="B7:F7"/>
    <mergeCell ref="L5:M5"/>
    <mergeCell ref="U2:W2"/>
    <mergeCell ref="V5:V6"/>
    <mergeCell ref="W5:W6"/>
    <mergeCell ref="T5:T6"/>
    <mergeCell ref="A1:L2"/>
    <mergeCell ref="M1:O1"/>
    <mergeCell ref="P5:R5"/>
    <mergeCell ref="S5:S6"/>
    <mergeCell ref="B4:F4"/>
    <mergeCell ref="L4:M4"/>
    <mergeCell ref="P4:R4"/>
    <mergeCell ref="A5:A6"/>
    <mergeCell ref="J5:J6"/>
    <mergeCell ref="B8:F8"/>
    <mergeCell ref="B9:F9"/>
    <mergeCell ref="K5:K6"/>
    <mergeCell ref="P1:T1"/>
    <mergeCell ref="N5:N6"/>
    <mergeCell ref="O5:O6"/>
    <mergeCell ref="G5:G6"/>
    <mergeCell ref="H5:H6"/>
    <mergeCell ref="I5:I6"/>
    <mergeCell ref="B46:W46"/>
    <mergeCell ref="A41:F41"/>
    <mergeCell ref="G41:I41"/>
    <mergeCell ref="J41:O41"/>
    <mergeCell ref="B63:W63"/>
    <mergeCell ref="B47:W47"/>
    <mergeCell ref="B48:W48"/>
    <mergeCell ref="B49:W49"/>
    <mergeCell ref="B50:W50"/>
    <mergeCell ref="B51:W51"/>
    <mergeCell ref="B52:W52"/>
    <mergeCell ref="A42:F42"/>
    <mergeCell ref="G42:I42"/>
    <mergeCell ref="J42:O42"/>
    <mergeCell ref="A44:W44"/>
    <mergeCell ref="B45:W45"/>
    <mergeCell ref="B64:W64"/>
    <mergeCell ref="B53:W53"/>
    <mergeCell ref="B54:W54"/>
    <mergeCell ref="B55:W55"/>
    <mergeCell ref="B56:W56"/>
    <mergeCell ref="B57:W57"/>
    <mergeCell ref="B58:W58"/>
    <mergeCell ref="B59:W59"/>
    <mergeCell ref="B60:W60"/>
    <mergeCell ref="B61:W61"/>
    <mergeCell ref="B62:W62"/>
  </mergeCells>
  <conditionalFormatting sqref="B7:F36">
    <cfRule type="duplicateValues" dxfId="13" priority="2"/>
    <cfRule type="expression" dxfId="10" priority="32">
      <formula>$X7:$X36&lt;&gt;0</formula>
    </cfRule>
  </conditionalFormatting>
  <conditionalFormatting sqref="G7:G36">
    <cfRule type="containsBlanks" dxfId="9" priority="35">
      <formula>LEN(TRIM(G7))=0</formula>
    </cfRule>
    <cfRule type="cellIs" dxfId="8" priority="36" operator="notEqual">
      <formula>4</formula>
    </cfRule>
  </conditionalFormatting>
  <conditionalFormatting sqref="H7:H36">
    <cfRule type="expression" dxfId="7" priority="1">
      <formula>IF(ISNUMBER(H7),OR(H7&gt;20,H7&lt;15),)</formula>
    </cfRule>
  </conditionalFormatting>
  <conditionalFormatting sqref="I7:I36">
    <cfRule type="cellIs" dxfId="6" priority="23" operator="greaterThan">
      <formula>70</formula>
    </cfRule>
  </conditionalFormatting>
  <conditionalFormatting sqref="J7:J36">
    <cfRule type="cellIs" dxfId="5" priority="24" operator="lessThan">
      <formula>$I7</formula>
    </cfRule>
    <cfRule type="cellIs" dxfId="4" priority="25" operator="greaterThan">
      <formula>90</formula>
    </cfRule>
  </conditionalFormatting>
  <conditionalFormatting sqref="K7:K36">
    <cfRule type="containsBlanks" dxfId="3" priority="29">
      <formula>LEN(TRIM(K7))=0</formula>
    </cfRule>
    <cfRule type="expression" dxfId="2" priority="30">
      <formula>$Y7="NOK"</formula>
    </cfRule>
  </conditionalFormatting>
  <conditionalFormatting sqref="N7:N36">
    <cfRule type="containsBlanks" dxfId="1" priority="28">
      <formula>LEN(TRIM(N7))=0</formula>
    </cfRule>
  </conditionalFormatting>
  <pageMargins left="0.7" right="0.7" top="0.78740157499999996" bottom="0.78740157499999996" header="0.3" footer="0.3"/>
  <pageSetup paperSize="9" scale="71" orientation="landscape" r:id="rId1"/>
  <ignoredErrors>
    <ignoredError sqref="T21:T36 N7:N26 N37" unlocked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62BD5EA8-DC93-40A2-91C4-EA4E8A56B288}">
            <xm:f>'Formeln Rdx'!$AO7&lt;1</xm:f>
            <x14:dxf>
              <fill>
                <patternFill>
                  <bgColor rgb="FFFF0000"/>
                </patternFill>
              </fill>
            </x14:dxf>
          </x14:cfRule>
          <x14:cfRule type="expression" priority="31" id="{37808D13-FCE0-4D13-9204-25E8A68D62F3}">
            <xm:f>ISERROR('Formeln Rdx'!$AN7)</xm:f>
            <x14:dxf>
              <fill>
                <patternFill>
                  <bgColor rgb="FFFFC000"/>
                </patternFill>
              </fill>
            </x14:dxf>
          </x14:cfRule>
          <xm:sqref>B7:F36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>
    <pageSetUpPr fitToPage="1"/>
  </sheetPr>
  <dimension ref="A1:V52"/>
  <sheetViews>
    <sheetView showZeros="0" showOutlineSymbols="0" view="pageLayout" topLeftCell="A2" zoomScaleNormal="70" zoomScaleSheetLayoutView="145" workbookViewId="0">
      <selection activeCell="N21" sqref="N21"/>
    </sheetView>
  </sheetViews>
  <sheetFormatPr defaultColWidth="9.16796875" defaultRowHeight="12.75" x14ac:dyDescent="0.15"/>
  <cols>
    <col min="1" max="2" width="3.1015625" style="199" customWidth="1"/>
    <col min="3" max="7" width="6.203125" customWidth="1"/>
    <col min="8" max="8" width="10.3828125" customWidth="1"/>
    <col min="9" max="10" width="7.68359375" customWidth="1"/>
    <col min="11" max="14" width="9.84375" customWidth="1"/>
    <col min="15" max="18" width="6.875" customWidth="1"/>
    <col min="19" max="20" width="35.1953125" customWidth="1"/>
    <col min="21" max="21" width="8.08984375" bestFit="1" customWidth="1"/>
    <col min="22" max="22" width="32.36328125" customWidth="1"/>
  </cols>
  <sheetData>
    <row r="1" spans="1:22" x14ac:dyDescent="0.15">
      <c r="A1" s="144"/>
      <c r="B1" s="145"/>
      <c r="C1" s="145"/>
      <c r="D1" s="145"/>
      <c r="E1" s="145"/>
      <c r="F1" s="145"/>
      <c r="G1" s="145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spans="1:22" ht="8.25" customHeight="1" x14ac:dyDescent="0.15">
      <c r="A2" s="5" t="s">
        <v>1</v>
      </c>
      <c r="B2" s="6"/>
      <c r="C2" s="6"/>
      <c r="D2" s="6"/>
      <c r="E2" s="6"/>
      <c r="F2" s="6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</row>
    <row r="3" spans="1:22" ht="6" customHeight="1" x14ac:dyDescent="0.15">
      <c r="A3" s="5"/>
      <c r="B3" s="6"/>
      <c r="C3" s="6"/>
      <c r="D3" s="6"/>
      <c r="E3" s="6"/>
      <c r="F3" s="6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</row>
    <row r="4" spans="1:22" ht="15.75" customHeight="1" x14ac:dyDescent="0.15">
      <c r="A4" s="5"/>
      <c r="B4" s="6"/>
      <c r="C4" s="6"/>
      <c r="D4" s="6"/>
      <c r="E4" s="6"/>
      <c r="F4" s="6"/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</row>
    <row r="5" spans="1:22" ht="6" customHeight="1" x14ac:dyDescent="0.15">
      <c r="A5" s="5"/>
      <c r="B5" s="6"/>
      <c r="C5" s="6"/>
      <c r="D5" s="6"/>
      <c r="E5" s="6"/>
      <c r="F5" s="6"/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</row>
    <row r="6" spans="1:22" s="1" customFormat="1" ht="15" customHeight="1" x14ac:dyDescent="0.1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146" t="s">
        <v>305</v>
      </c>
      <c r="T6" s="6"/>
      <c r="U6" s="6"/>
      <c r="V6" s="147"/>
    </row>
    <row r="7" spans="1:22" ht="2.25" customHeight="1" x14ac:dyDescent="0.15">
      <c r="A7" s="470"/>
      <c r="B7" s="471"/>
      <c r="C7" s="471"/>
      <c r="D7" s="471"/>
      <c r="E7" s="471"/>
      <c r="F7" s="471"/>
      <c r="G7" s="471"/>
      <c r="H7" s="471"/>
      <c r="I7" s="471"/>
      <c r="J7" s="471"/>
      <c r="K7" s="471"/>
      <c r="L7" s="471"/>
      <c r="M7" s="471"/>
      <c r="N7" s="471"/>
      <c r="O7" s="471"/>
      <c r="P7" s="471"/>
      <c r="Q7" s="471"/>
      <c r="R7" s="471"/>
      <c r="S7" s="471"/>
      <c r="T7" s="471"/>
      <c r="U7" s="471"/>
      <c r="V7" s="451"/>
    </row>
    <row r="8" spans="1:22" ht="12.75" customHeight="1" x14ac:dyDescent="0.15">
      <c r="A8" s="453" t="s">
        <v>278</v>
      </c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7"/>
      <c r="N8" s="457"/>
      <c r="O8" s="457"/>
      <c r="P8" s="457"/>
      <c r="Q8" s="457"/>
      <c r="R8" s="457"/>
      <c r="S8" s="457"/>
      <c r="T8" s="457"/>
      <c r="U8" s="457"/>
      <c r="V8" s="450"/>
    </row>
    <row r="9" spans="1:22" ht="23.25" customHeight="1" x14ac:dyDescent="0.15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148"/>
      <c r="N9" s="149" t="s">
        <v>279</v>
      </c>
      <c r="O9" s="150">
        <v>1</v>
      </c>
      <c r="P9" s="151" t="s">
        <v>280</v>
      </c>
      <c r="Q9" s="150">
        <v>1</v>
      </c>
      <c r="R9" s="152"/>
      <c r="S9" s="152"/>
      <c r="T9" s="152"/>
      <c r="V9" s="450"/>
    </row>
    <row r="10" spans="1:22" ht="12.75" customHeight="1" x14ac:dyDescent="0.15">
      <c r="A10" s="455"/>
      <c r="B10" s="456"/>
      <c r="C10" s="456"/>
      <c r="D10" s="456"/>
      <c r="E10" s="456"/>
      <c r="F10" s="456"/>
      <c r="G10" s="456"/>
      <c r="H10" s="456"/>
      <c r="I10" s="456"/>
      <c r="J10" s="456"/>
      <c r="K10" s="456"/>
      <c r="L10" s="456"/>
      <c r="M10" s="458"/>
      <c r="N10" s="458"/>
      <c r="O10" s="458"/>
      <c r="P10" s="458"/>
      <c r="Q10" s="458"/>
      <c r="R10" s="458"/>
      <c r="S10" s="458"/>
      <c r="T10" s="458"/>
      <c r="U10" s="458"/>
      <c r="V10" s="452"/>
    </row>
    <row r="11" spans="1:22" s="1" customFormat="1" ht="15" customHeight="1" x14ac:dyDescent="0.15">
      <c r="A11" s="465" t="s">
        <v>0</v>
      </c>
      <c r="B11" s="465"/>
      <c r="C11" s="465"/>
      <c r="D11" s="465"/>
      <c r="E11" s="465"/>
      <c r="F11" s="466" t="s">
        <v>131</v>
      </c>
      <c r="G11" s="467"/>
      <c r="H11" s="467"/>
      <c r="I11" s="468"/>
      <c r="J11" s="469" t="s">
        <v>280</v>
      </c>
      <c r="K11" s="469"/>
      <c r="L11" s="469"/>
      <c r="M11" s="469"/>
      <c r="N11" s="469" t="s">
        <v>281</v>
      </c>
      <c r="O11" s="469"/>
      <c r="P11" s="469"/>
      <c r="Q11" s="469"/>
      <c r="R11" s="469"/>
      <c r="S11" s="153"/>
      <c r="T11" s="154"/>
      <c r="U11" s="154"/>
      <c r="V11" s="155"/>
    </row>
    <row r="12" spans="1:22" s="1" customFormat="1" ht="15" customHeight="1" x14ac:dyDescent="0.15">
      <c r="A12" s="459" t="str">
        <f>Wagenliste!$A$42</f>
        <v>28. 02 2026</v>
      </c>
      <c r="B12" s="459"/>
      <c r="C12" s="459"/>
      <c r="D12" s="459"/>
      <c r="E12" s="459"/>
      <c r="F12" s="460">
        <f>Wagenliste!$M$2</f>
        <v>0</v>
      </c>
      <c r="G12" s="461"/>
      <c r="H12" s="461"/>
      <c r="I12" s="462"/>
      <c r="J12" s="460" t="str">
        <f>Wagenliste!$P$2</f>
        <v>EGBK</v>
      </c>
      <c r="K12" s="461"/>
      <c r="L12" s="461"/>
      <c r="M12" s="462"/>
      <c r="N12" s="463" t="str">
        <f>Wagenliste!$U$2</f>
        <v xml:space="preserve">Schkeuditz Luftfracht </v>
      </c>
      <c r="O12" s="464"/>
      <c r="P12" s="464"/>
      <c r="Q12" s="464"/>
      <c r="R12" s="464"/>
      <c r="S12" s="156" t="s">
        <v>282</v>
      </c>
      <c r="T12" s="157" t="str">
        <f>Wagenliste!$J$42</f>
        <v>N.Uka</v>
      </c>
      <c r="U12" s="158"/>
      <c r="V12" s="159"/>
    </row>
    <row r="13" spans="1:22" s="1" customFormat="1" ht="15" customHeight="1" x14ac:dyDescent="0.15">
      <c r="A13" s="443"/>
      <c r="B13" s="443"/>
      <c r="C13" s="443"/>
      <c r="D13" s="443"/>
      <c r="E13" s="443"/>
      <c r="F13" s="444"/>
      <c r="G13" s="445"/>
      <c r="H13" s="445"/>
      <c r="I13" s="446"/>
      <c r="J13" s="447"/>
      <c r="K13" s="447"/>
      <c r="L13" s="447"/>
      <c r="M13" s="447"/>
      <c r="N13" s="447"/>
      <c r="O13" s="447"/>
      <c r="P13" s="447"/>
      <c r="Q13" s="447"/>
      <c r="R13" s="447"/>
      <c r="S13" s="160"/>
      <c r="T13" s="161"/>
      <c r="U13" s="161"/>
      <c r="V13" s="162"/>
    </row>
    <row r="14" spans="1:22" s="1" customFormat="1" ht="9.75" customHeight="1" x14ac:dyDescent="0.15">
      <c r="A14" s="448"/>
      <c r="B14" s="449"/>
      <c r="C14" s="449"/>
      <c r="D14" s="449"/>
      <c r="E14" s="449"/>
      <c r="F14" s="449"/>
      <c r="G14" s="449"/>
      <c r="H14" s="449"/>
      <c r="I14" s="449"/>
      <c r="J14" s="449"/>
      <c r="K14" s="449"/>
      <c r="L14" s="449"/>
      <c r="M14" s="449"/>
      <c r="N14" s="449"/>
      <c r="O14" s="449"/>
      <c r="P14" s="449"/>
      <c r="Q14" s="449"/>
      <c r="R14" s="449"/>
      <c r="S14" s="449"/>
      <c r="T14" s="449"/>
      <c r="U14" s="449"/>
      <c r="V14" s="450"/>
    </row>
    <row r="15" spans="1:22" s="1" customFormat="1" ht="15" customHeight="1" x14ac:dyDescent="0.15">
      <c r="A15" s="438" t="s">
        <v>283</v>
      </c>
      <c r="B15" s="438" t="s">
        <v>284</v>
      </c>
      <c r="C15" s="422" t="s">
        <v>2</v>
      </c>
      <c r="D15" s="422"/>
      <c r="E15" s="422"/>
      <c r="F15" s="422"/>
      <c r="G15" s="422"/>
      <c r="H15" s="430" t="s">
        <v>285</v>
      </c>
      <c r="I15" s="439" t="s">
        <v>286</v>
      </c>
      <c r="J15" s="440"/>
      <c r="K15" s="421" t="s">
        <v>287</v>
      </c>
      <c r="L15" s="421" t="s">
        <v>288</v>
      </c>
      <c r="M15" s="421" t="s">
        <v>289</v>
      </c>
      <c r="N15" s="421" t="s">
        <v>290</v>
      </c>
      <c r="O15" s="429" t="s">
        <v>291</v>
      </c>
      <c r="P15" s="429"/>
      <c r="Q15" s="430" t="s">
        <v>292</v>
      </c>
      <c r="R15" s="433" t="s">
        <v>293</v>
      </c>
      <c r="S15" s="421" t="s">
        <v>294</v>
      </c>
      <c r="T15" s="421" t="s">
        <v>295</v>
      </c>
      <c r="U15" s="436" t="s">
        <v>3</v>
      </c>
      <c r="V15" s="421" t="s">
        <v>296</v>
      </c>
    </row>
    <row r="16" spans="1:22" s="1" customFormat="1" ht="15" customHeight="1" x14ac:dyDescent="0.15">
      <c r="A16" s="438"/>
      <c r="B16" s="438"/>
      <c r="C16" s="422"/>
      <c r="D16" s="422"/>
      <c r="E16" s="422"/>
      <c r="F16" s="422"/>
      <c r="G16" s="422"/>
      <c r="H16" s="431"/>
      <c r="I16" s="441"/>
      <c r="J16" s="442"/>
      <c r="K16" s="421"/>
      <c r="L16" s="421"/>
      <c r="M16" s="421"/>
      <c r="N16" s="421"/>
      <c r="O16" s="422" t="s">
        <v>4</v>
      </c>
      <c r="P16" s="422" t="s">
        <v>5</v>
      </c>
      <c r="Q16" s="431"/>
      <c r="R16" s="434"/>
      <c r="S16" s="421"/>
      <c r="T16" s="421"/>
      <c r="U16" s="437"/>
      <c r="V16" s="421"/>
    </row>
    <row r="17" spans="1:22" s="1" customFormat="1" ht="17.25" customHeight="1" x14ac:dyDescent="0.15">
      <c r="A17" s="438"/>
      <c r="B17" s="438"/>
      <c r="C17" s="201" t="s">
        <v>6</v>
      </c>
      <c r="D17" s="201" t="s">
        <v>7</v>
      </c>
      <c r="E17" s="201" t="s">
        <v>297</v>
      </c>
      <c r="F17" s="201" t="s">
        <v>8</v>
      </c>
      <c r="G17" s="201" t="s">
        <v>9</v>
      </c>
      <c r="H17" s="432"/>
      <c r="I17" s="207" t="s">
        <v>298</v>
      </c>
      <c r="J17" s="206" t="s">
        <v>299</v>
      </c>
      <c r="K17" s="201" t="s">
        <v>300</v>
      </c>
      <c r="L17" s="201" t="s">
        <v>301</v>
      </c>
      <c r="M17" s="201" t="s">
        <v>301</v>
      </c>
      <c r="N17" s="201" t="s">
        <v>301</v>
      </c>
      <c r="O17" s="422"/>
      <c r="P17" s="422"/>
      <c r="Q17" s="432"/>
      <c r="R17" s="435"/>
      <c r="S17" s="421"/>
      <c r="T17" s="421"/>
      <c r="U17" s="437"/>
      <c r="V17" s="421"/>
    </row>
    <row r="18" spans="1:22" s="1" customFormat="1" ht="15" customHeight="1" x14ac:dyDescent="0.15">
      <c r="A18" s="163">
        <v>1</v>
      </c>
      <c r="B18" s="163">
        <f t="shared" ref="B18:B45" si="0">B19+1</f>
        <v>30</v>
      </c>
      <c r="C18" s="423">
        <f>IF(ISBLANK(Wagenliste!B7),"",Wagenliste!B7)</f>
        <v>378078308871</v>
      </c>
      <c r="D18" s="424"/>
      <c r="E18" s="424"/>
      <c r="F18" s="424"/>
      <c r="G18" s="425"/>
      <c r="H18" s="164" t="str">
        <f t="shared" ref="H18:H42" si="1">IF(C18="","","Z")</f>
        <v>Z</v>
      </c>
      <c r="I18" s="202" t="str">
        <f>IF(OR(M18="0",M18=""),Wagenliste!G7,"-")</f>
        <v>-</v>
      </c>
      <c r="J18" s="202">
        <f>IF(M18="0","-",IF(M18&gt;0,Wagenliste!G7,"-"))</f>
        <v>4</v>
      </c>
      <c r="K18" s="165">
        <f>IF(ISBLANK(Wagenliste!H7),"",Wagenliste!H7)</f>
        <v>16.399999999999999</v>
      </c>
      <c r="L18" s="166">
        <f t="shared" ref="L18:L47" si="2">IF(C18="","",N18-M18)</f>
        <v>22.900000000000006</v>
      </c>
      <c r="M18" s="166">
        <f>IF(C18="","",IF(OR(ISBLANK(Wagenliste!I7),Wagenliste!I7=0),"0",Wagenliste!I7))</f>
        <v>66.3</v>
      </c>
      <c r="N18" s="166">
        <f>IF(ISBLANK(Wagenliste!J7),"",Wagenliste!J7)</f>
        <v>89.2</v>
      </c>
      <c r="O18" s="203" t="str">
        <f>IF(C18="","",IF(Wagenliste!L7="","",Wagenliste!L7))</f>
        <v/>
      </c>
      <c r="P18" s="203">
        <f>IF(C18="","",IF(Wagenliste!M7="","",Wagenliste!M7))</f>
        <v>59</v>
      </c>
      <c r="Q18" s="204" t="str">
        <f>IF(C18="","",Wagenliste!K7)</f>
        <v>K</v>
      </c>
      <c r="R18" s="205">
        <f>IF(ISBLANK(Wagenliste!O7),"",Wagenliste!O7)</f>
        <v>20.2</v>
      </c>
      <c r="S18" s="167" t="str">
        <f>IF(C18="","",Wagenliste!$P$2)</f>
        <v>EGBK</v>
      </c>
      <c r="T18" s="167" t="str">
        <f>IF(C18="","",Wagenliste!$U$2)</f>
        <v xml:space="preserve">Schkeuditz Luftfracht </v>
      </c>
      <c r="U18" s="168" t="str">
        <f t="shared" ref="U18:U37" si="3">IF(C18="","","X")</f>
        <v>X</v>
      </c>
      <c r="V18" s="200" t="str">
        <f>IF(C18="","",(CONCATENATE(Wagenliste!$Q$6," ",Wagenliste!Q7,"  ",Wagenliste!$R$6," ",Wagenliste!R7,"  ",Wagenliste!W7)))</f>
        <v>UN
Nr 1863  Gef.
Zettel 3  H</v>
      </c>
    </row>
    <row r="19" spans="1:22" s="1" customFormat="1" ht="15" customHeight="1" x14ac:dyDescent="0.15">
      <c r="A19" s="169">
        <f t="shared" ref="A19:A47" si="4">A18+1</f>
        <v>2</v>
      </c>
      <c r="B19" s="169">
        <f t="shared" si="0"/>
        <v>29</v>
      </c>
      <c r="C19" s="426">
        <f>IF(ISBLANK(Wagenliste!B8),"",Wagenliste!B8)</f>
        <v>378078430758</v>
      </c>
      <c r="D19" s="427"/>
      <c r="E19" s="427"/>
      <c r="F19" s="427"/>
      <c r="G19" s="428"/>
      <c r="H19" s="164" t="str">
        <f t="shared" si="1"/>
        <v>Z</v>
      </c>
      <c r="I19" s="202">
        <f>IF(OR(M19="0",M19=""),Wagenliste!G8,"-")</f>
        <v>4</v>
      </c>
      <c r="J19" s="202" t="str">
        <f>IF(M19="0","-",IF(M19&gt;0,Wagenliste!G8,"-"))</f>
        <v>-</v>
      </c>
      <c r="K19" s="165">
        <f>IF(ISBLANK(Wagenliste!H8),"",Wagenliste!H8)</f>
        <v>16.399999999999999</v>
      </c>
      <c r="L19" s="166" t="e">
        <f t="shared" si="2"/>
        <v>#VALUE!</v>
      </c>
      <c r="M19" s="166" t="str">
        <f>IF(C19="","",IF(OR(ISBLANK(Wagenliste!I8),Wagenliste!I8=0),"0",Wagenliste!I8))</f>
        <v>0</v>
      </c>
      <c r="N19" s="166" t="str">
        <f>IF(ISBLANK(Wagenliste!J8),"",Wagenliste!J8)</f>
        <v/>
      </c>
      <c r="O19" s="203" t="str">
        <f>IF(C19="","",IF(Wagenliste!L8="","",Wagenliste!L8))</f>
        <v/>
      </c>
      <c r="P19" s="203">
        <f>IF(C19="","",IF(Wagenliste!M8="","",Wagenliste!M8))</f>
        <v>60</v>
      </c>
      <c r="Q19" s="204" t="str">
        <f>IF(C19="","",Wagenliste!K8)</f>
        <v>K</v>
      </c>
      <c r="R19" s="170">
        <f>IF(ISBLANK(Wagenliste!O8),"",Wagenliste!O8)</f>
        <v>23.9</v>
      </c>
      <c r="S19" s="167" t="str">
        <f>IF(C19="","",Wagenliste!$P$2)</f>
        <v>EGBK</v>
      </c>
      <c r="T19" s="167" t="str">
        <f>IF(C19="","",Wagenliste!$U$2)</f>
        <v xml:space="preserve">Schkeuditz Luftfracht </v>
      </c>
      <c r="U19" s="168" t="str">
        <f t="shared" si="3"/>
        <v>X</v>
      </c>
      <c r="V19" s="200" t="str">
        <f>IF(C19="","",(CONCATENATE(Wagenliste!$Q$6," ",Wagenliste!Q8,"  ",Wagenliste!$R$6," ",Wagenliste!R8,"  ",Wagenliste!W8)))</f>
        <v>UN
Nr 1863  Gef.
Zettel 3  H</v>
      </c>
    </row>
    <row r="20" spans="1:22" s="1" customFormat="1" ht="15" customHeight="1" x14ac:dyDescent="0.15">
      <c r="A20" s="169">
        <f t="shared" si="4"/>
        <v>3</v>
      </c>
      <c r="B20" s="169">
        <f t="shared" si="0"/>
        <v>28</v>
      </c>
      <c r="C20" s="409">
        <f>IF(ISBLANK(Wagenliste!B9),"",Wagenliste!B9)</f>
        <v>378078430659</v>
      </c>
      <c r="D20" s="410"/>
      <c r="E20" s="410"/>
      <c r="F20" s="410"/>
      <c r="G20" s="411"/>
      <c r="H20" s="164" t="str">
        <f t="shared" si="1"/>
        <v>Z</v>
      </c>
      <c r="I20" s="202">
        <f>IF(OR(M20="0",M20=""),Wagenliste!G9,"-")</f>
        <v>4</v>
      </c>
      <c r="J20" s="202" t="str">
        <f>IF(M20="0","-",IF(M20&gt;0,Wagenliste!G9,"-"))</f>
        <v>-</v>
      </c>
      <c r="K20" s="165">
        <f>IF(ISBLANK(Wagenliste!H9),"",Wagenliste!H9)</f>
        <v>16.399999999999999</v>
      </c>
      <c r="L20" s="166" t="e">
        <f t="shared" si="2"/>
        <v>#VALUE!</v>
      </c>
      <c r="M20" s="166" t="str">
        <f>IF(C20="","",IF(OR(ISBLANK(Wagenliste!I9),Wagenliste!I9=0),"0",Wagenliste!I9))</f>
        <v>0</v>
      </c>
      <c r="N20" s="166" t="str">
        <f>IF(ISBLANK(Wagenliste!J9),"",Wagenliste!J9)</f>
        <v/>
      </c>
      <c r="O20" s="203" t="str">
        <f>IF(C20="","",IF(Wagenliste!L9="","",Wagenliste!L9))</f>
        <v/>
      </c>
      <c r="P20" s="203">
        <f>IF(C20="","",IF(Wagenliste!M9="","",Wagenliste!M9))</f>
        <v>60</v>
      </c>
      <c r="Q20" s="204" t="str">
        <f>IF(C20="","",Wagenliste!K9)</f>
        <v>K</v>
      </c>
      <c r="R20" s="170">
        <f>IF(ISBLANK(Wagenliste!O9),"",Wagenliste!O9)</f>
        <v>23.8</v>
      </c>
      <c r="S20" s="167" t="str">
        <f>IF(C20="","",Wagenliste!$P$2)</f>
        <v>EGBK</v>
      </c>
      <c r="T20" s="167" t="str">
        <f>IF(C20="","",Wagenliste!$U$2)</f>
        <v xml:space="preserve">Schkeuditz Luftfracht </v>
      </c>
      <c r="U20" s="168" t="str">
        <f t="shared" si="3"/>
        <v>X</v>
      </c>
      <c r="V20" s="200" t="str">
        <f>IF(C20="","",(CONCATENATE(Wagenliste!$Q$6," ",Wagenliste!Q9,"  ",Wagenliste!$R$6," ",Wagenliste!R9,"  ",Wagenliste!W9)))</f>
        <v>UN
Nr 1863  Gef.
Zettel 3  H</v>
      </c>
    </row>
    <row r="21" spans="1:22" s="1" customFormat="1" ht="15" customHeight="1" x14ac:dyDescent="0.15">
      <c r="A21" s="169">
        <f t="shared" si="4"/>
        <v>4</v>
      </c>
      <c r="B21" s="169">
        <f t="shared" si="0"/>
        <v>27</v>
      </c>
      <c r="C21" s="409">
        <f>IF(ISBLANK(Wagenliste!B10),"",Wagenliste!B10)</f>
        <v>378478296361</v>
      </c>
      <c r="D21" s="410"/>
      <c r="E21" s="410"/>
      <c r="F21" s="410"/>
      <c r="G21" s="411"/>
      <c r="H21" s="164" t="str">
        <f t="shared" si="1"/>
        <v>Z</v>
      </c>
      <c r="I21" s="202">
        <f>IF(OR(M21="0",M21=""),Wagenliste!G10,"-")</f>
        <v>4</v>
      </c>
      <c r="J21" s="202" t="str">
        <f>IF(M21="0","-",IF(M21&gt;0,Wagenliste!G10,"-"))</f>
        <v>-</v>
      </c>
      <c r="K21" s="165">
        <f>IF(ISBLANK(Wagenliste!H10),"",Wagenliste!H10)</f>
        <v>16.690000000000001</v>
      </c>
      <c r="L21" s="166" t="e">
        <f t="shared" si="2"/>
        <v>#VALUE!</v>
      </c>
      <c r="M21" s="166" t="str">
        <f>IF(C21="","",IF(OR(ISBLANK(Wagenliste!I10),Wagenliste!I10=0),"0",Wagenliste!I10))</f>
        <v>0</v>
      </c>
      <c r="N21" s="166" t="str">
        <f>IF(ISBLANK(Wagenliste!J10),"",Wagenliste!J10)</f>
        <v/>
      </c>
      <c r="O21" s="203" t="str">
        <f>IF(C21="","",IF(Wagenliste!L10="","",Wagenliste!L10))</f>
        <v/>
      </c>
      <c r="P21" s="203">
        <f>IF(C21="","",IF(Wagenliste!M10="","",Wagenliste!M10))</f>
        <v>59</v>
      </c>
      <c r="Q21" s="204" t="str">
        <f>IF(C21="","",Wagenliste!K10)</f>
        <v>K</v>
      </c>
      <c r="R21" s="170">
        <f>IF(ISBLANK(Wagenliste!O10),"",Wagenliste!O10)</f>
        <v>22.1</v>
      </c>
      <c r="S21" s="167" t="str">
        <f>IF(C21="","",Wagenliste!$P$2)</f>
        <v>EGBK</v>
      </c>
      <c r="T21" s="167" t="str">
        <f>IF(C21="","",Wagenliste!$U$2)</f>
        <v xml:space="preserve">Schkeuditz Luftfracht </v>
      </c>
      <c r="U21" s="168" t="str">
        <f t="shared" si="3"/>
        <v>X</v>
      </c>
      <c r="V21" s="200" t="str">
        <f>IF(C21="","",(CONCATENATE(Wagenliste!$Q$6," ",Wagenliste!Q10,"  ",Wagenliste!$R$6," ",Wagenliste!R10,"  ",Wagenliste!W10)))</f>
        <v>UN
Nr 1863  Gef.
Zettel 3  H</v>
      </c>
    </row>
    <row r="22" spans="1:22" s="1" customFormat="1" ht="15" customHeight="1" x14ac:dyDescent="0.15">
      <c r="A22" s="169">
        <f t="shared" si="4"/>
        <v>5</v>
      </c>
      <c r="B22" s="169">
        <f t="shared" si="0"/>
        <v>26</v>
      </c>
      <c r="C22" s="409">
        <f>IF(ISBLANK(Wagenliste!B11),"",Wagenliste!B11)</f>
        <v>378078431368</v>
      </c>
      <c r="D22" s="410"/>
      <c r="E22" s="410"/>
      <c r="F22" s="410"/>
      <c r="G22" s="411"/>
      <c r="H22" s="164" t="str">
        <f t="shared" si="1"/>
        <v>Z</v>
      </c>
      <c r="I22" s="202">
        <f>IF(OR(M22="0",M22=""),Wagenliste!G11,"-")</f>
        <v>4</v>
      </c>
      <c r="J22" s="202" t="str">
        <f>IF(M22="0","-",IF(M22&gt;0,Wagenliste!G11,"-"))</f>
        <v>-</v>
      </c>
      <c r="K22" s="165">
        <f>IF(ISBLANK(Wagenliste!H11),"",Wagenliste!H11)</f>
        <v>16.399999999999999</v>
      </c>
      <c r="L22" s="166" t="e">
        <f t="shared" si="2"/>
        <v>#VALUE!</v>
      </c>
      <c r="M22" s="166" t="str">
        <f>IF(C22="","",IF(OR(ISBLANK(Wagenliste!I11),Wagenliste!I11=0),"0",Wagenliste!I11))</f>
        <v>0</v>
      </c>
      <c r="N22" s="166" t="str">
        <f>IF(ISBLANK(Wagenliste!J11),"",Wagenliste!J11)</f>
        <v/>
      </c>
      <c r="O22" s="203" t="str">
        <f>IF(C22="","",IF(Wagenliste!L11="","",Wagenliste!L11))</f>
        <v/>
      </c>
      <c r="P22" s="203">
        <f>IF(C22="","",IF(Wagenliste!M11="","",Wagenliste!M11))</f>
        <v>60</v>
      </c>
      <c r="Q22" s="204" t="str">
        <f>IF(C22="","",Wagenliste!K11)</f>
        <v>K</v>
      </c>
      <c r="R22" s="170">
        <f>IF(ISBLANK(Wagenliste!O11),"",Wagenliste!O11)</f>
        <v>23.9</v>
      </c>
      <c r="S22" s="167" t="str">
        <f>IF(C22="","",Wagenliste!$P$2)</f>
        <v>EGBK</v>
      </c>
      <c r="T22" s="167" t="str">
        <f>IF(C22="","",Wagenliste!$U$2)</f>
        <v xml:space="preserve">Schkeuditz Luftfracht </v>
      </c>
      <c r="U22" s="168" t="str">
        <f t="shared" si="3"/>
        <v>X</v>
      </c>
      <c r="V22" s="200" t="str">
        <f>IF(C22="","",(CONCATENATE(Wagenliste!$Q$6," ",Wagenliste!Q11,"  ",Wagenliste!$R$6," ",Wagenliste!R11,"  ",Wagenliste!W11)))</f>
        <v>UN
Nr 1863  Gef.
Zettel 3  H</v>
      </c>
    </row>
    <row r="23" spans="1:22" s="1" customFormat="1" ht="15" customHeight="1" x14ac:dyDescent="0.15">
      <c r="A23" s="169">
        <f t="shared" si="4"/>
        <v>6</v>
      </c>
      <c r="B23" s="169">
        <f t="shared" si="0"/>
        <v>25</v>
      </c>
      <c r="C23" s="409">
        <f>IF(ISBLANK(Wagenliste!B12),"",Wagenliste!B12)</f>
        <v>378478296023</v>
      </c>
      <c r="D23" s="410"/>
      <c r="E23" s="410"/>
      <c r="F23" s="410"/>
      <c r="G23" s="411"/>
      <c r="H23" s="164" t="str">
        <f t="shared" si="1"/>
        <v>Z</v>
      </c>
      <c r="I23" s="202">
        <f>IF(OR(M23="0",M23=""),Wagenliste!G12,"-")</f>
        <v>4</v>
      </c>
      <c r="J23" s="202" t="str">
        <f>IF(M23="0","-",IF(M23&gt;0,Wagenliste!G12,"-"))</f>
        <v>-</v>
      </c>
      <c r="K23" s="165">
        <f>IF(ISBLANK(Wagenliste!H12),"",Wagenliste!H12)</f>
        <v>16.690000000000001</v>
      </c>
      <c r="L23" s="166" t="e">
        <f t="shared" si="2"/>
        <v>#VALUE!</v>
      </c>
      <c r="M23" s="166" t="str">
        <f>IF(C23="","",IF(OR(ISBLANK(Wagenliste!I12),Wagenliste!I12=0),"0",Wagenliste!I12))</f>
        <v>0</v>
      </c>
      <c r="N23" s="166" t="str">
        <f>IF(ISBLANK(Wagenliste!J12),"",Wagenliste!J12)</f>
        <v/>
      </c>
      <c r="O23" s="203">
        <f>IF(C23="","",IF(Wagenliste!L12="","",Wagenliste!L12))</f>
        <v>59</v>
      </c>
      <c r="P23" s="203" t="str">
        <f>IF(C23="","",IF(Wagenliste!M12="","",Wagenliste!M12))</f>
        <v/>
      </c>
      <c r="Q23" s="204" t="str">
        <f>IF(C23="","",Wagenliste!K12)</f>
        <v>K</v>
      </c>
      <c r="R23" s="170">
        <f>IF(ISBLANK(Wagenliste!O12),"",Wagenliste!O12)</f>
        <v>22.1</v>
      </c>
      <c r="S23" s="167" t="str">
        <f>IF(C23="","",Wagenliste!$P$2)</f>
        <v>EGBK</v>
      </c>
      <c r="T23" s="167" t="str">
        <f>IF(C23="","",Wagenliste!$U$2)</f>
        <v xml:space="preserve">Schkeuditz Luftfracht </v>
      </c>
      <c r="U23" s="168" t="str">
        <f t="shared" si="3"/>
        <v>X</v>
      </c>
      <c r="V23" s="200" t="str">
        <f>IF(C23="","",(CONCATENATE(Wagenliste!$Q$6," ",Wagenliste!Q12,"  ",Wagenliste!$R$6," ",Wagenliste!R12,"  ",Wagenliste!W12)))</f>
        <v>UN
Nr 1863  Gef.
Zettel 3  H</v>
      </c>
    </row>
    <row r="24" spans="1:22" s="1" customFormat="1" ht="15" customHeight="1" x14ac:dyDescent="0.15">
      <c r="A24" s="169">
        <f t="shared" si="4"/>
        <v>7</v>
      </c>
      <c r="B24" s="169">
        <f t="shared" si="0"/>
        <v>24</v>
      </c>
      <c r="C24" s="409">
        <f>IF(ISBLANK(Wagenliste!B13),"",Wagenliste!B13)</f>
        <v>378078431046</v>
      </c>
      <c r="D24" s="410"/>
      <c r="E24" s="410"/>
      <c r="F24" s="410"/>
      <c r="G24" s="411"/>
      <c r="H24" s="164" t="str">
        <f t="shared" si="1"/>
        <v>Z</v>
      </c>
      <c r="I24" s="202">
        <f>IF(OR(M24="0",M24=""),Wagenliste!G13,"-")</f>
        <v>4</v>
      </c>
      <c r="J24" s="202" t="str">
        <f>IF(M24="0","-",IF(M24&gt;0,Wagenliste!G13,"-"))</f>
        <v>-</v>
      </c>
      <c r="K24" s="165">
        <f>IF(ISBLANK(Wagenliste!H13),"",Wagenliste!H13)</f>
        <v>16.399999999999999</v>
      </c>
      <c r="L24" s="166" t="e">
        <f t="shared" si="2"/>
        <v>#VALUE!</v>
      </c>
      <c r="M24" s="166" t="str">
        <f>IF(C24="","",IF(OR(ISBLANK(Wagenliste!I13),Wagenliste!I13=0),"0",Wagenliste!I13))</f>
        <v>0</v>
      </c>
      <c r="N24" s="166" t="str">
        <f>IF(ISBLANK(Wagenliste!J13),"",Wagenliste!J13)</f>
        <v/>
      </c>
      <c r="O24" s="203">
        <f>IF(C24="","",IF(Wagenliste!L13="","",Wagenliste!L13))</f>
        <v>60</v>
      </c>
      <c r="P24" s="203" t="str">
        <f>IF(C24="","",IF(Wagenliste!M13="","",Wagenliste!M13))</f>
        <v/>
      </c>
      <c r="Q24" s="204" t="str">
        <f>IF(C24="","",Wagenliste!K13)</f>
        <v>K</v>
      </c>
      <c r="R24" s="170">
        <f>IF(ISBLANK(Wagenliste!O13),"",Wagenliste!O13)</f>
        <v>23.9</v>
      </c>
      <c r="S24" s="167" t="str">
        <f>IF(C24="","",Wagenliste!$P$2)</f>
        <v>EGBK</v>
      </c>
      <c r="T24" s="167" t="str">
        <f>IF(C24="","",Wagenliste!$U$2)</f>
        <v xml:space="preserve">Schkeuditz Luftfracht </v>
      </c>
      <c r="U24" s="168" t="str">
        <f t="shared" si="3"/>
        <v>X</v>
      </c>
      <c r="V24" s="200" t="str">
        <f>IF(C24="","",(CONCATENATE(Wagenliste!$Q$6," ",Wagenliste!Q13,"  ",Wagenliste!$R$6," ",Wagenliste!R13,"  ",Wagenliste!W13)))</f>
        <v>UN
Nr 1863  Gef.
Zettel 3  H</v>
      </c>
    </row>
    <row r="25" spans="1:22" s="1" customFormat="1" ht="15" customHeight="1" x14ac:dyDescent="0.15">
      <c r="A25" s="169">
        <f t="shared" si="4"/>
        <v>8</v>
      </c>
      <c r="B25" s="169">
        <f t="shared" si="0"/>
        <v>23</v>
      </c>
      <c r="C25" s="409">
        <f>IF(ISBLANK(Wagenliste!B14),"",Wagenliste!B14)</f>
        <v>378078308749</v>
      </c>
      <c r="D25" s="410"/>
      <c r="E25" s="410"/>
      <c r="F25" s="410"/>
      <c r="G25" s="411"/>
      <c r="H25" s="164" t="str">
        <f t="shared" si="1"/>
        <v>Z</v>
      </c>
      <c r="I25" s="202">
        <f>IF(OR(M25="0",M25=""),Wagenliste!G14,"-")</f>
        <v>4</v>
      </c>
      <c r="J25" s="202" t="str">
        <f>IF(M25="0","-",IF(M25&gt;0,Wagenliste!G14,"-"))</f>
        <v>-</v>
      </c>
      <c r="K25" s="165">
        <f>IF(ISBLANK(Wagenliste!H14),"",Wagenliste!H14)</f>
        <v>16.399999999999999</v>
      </c>
      <c r="L25" s="166" t="e">
        <f t="shared" si="2"/>
        <v>#VALUE!</v>
      </c>
      <c r="M25" s="166" t="str">
        <f>IF(C25="","",IF(OR(ISBLANK(Wagenliste!I14),Wagenliste!I14=0),"0",Wagenliste!I14))</f>
        <v>0</v>
      </c>
      <c r="N25" s="166" t="str">
        <f>IF(ISBLANK(Wagenliste!J14),"",Wagenliste!J14)</f>
        <v/>
      </c>
      <c r="O25" s="203">
        <f>IF(C25="","",IF(Wagenliste!L14="","",Wagenliste!L14))</f>
        <v>58</v>
      </c>
      <c r="P25" s="203" t="str">
        <f>IF(C25="","",IF(Wagenliste!M14="","",Wagenliste!M14))</f>
        <v/>
      </c>
      <c r="Q25" s="204" t="str">
        <f>IF(C25="","",Wagenliste!K14)</f>
        <v>K</v>
      </c>
      <c r="R25" s="170">
        <f>IF(ISBLANK(Wagenliste!O14),"",Wagenliste!O14)</f>
        <v>20.2</v>
      </c>
      <c r="S25" s="167" t="str">
        <f>IF(C25="","",Wagenliste!$P$2)</f>
        <v>EGBK</v>
      </c>
      <c r="T25" s="167" t="str">
        <f>IF(C25="","",Wagenliste!$U$2)</f>
        <v xml:space="preserve">Schkeuditz Luftfracht </v>
      </c>
      <c r="U25" s="168" t="str">
        <f t="shared" si="3"/>
        <v>X</v>
      </c>
      <c r="V25" s="200" t="str">
        <f>IF(C25="","",(CONCATENATE(Wagenliste!$Q$6," ",Wagenliste!Q14,"  ",Wagenliste!$R$6," ",Wagenliste!R14,"  ",Wagenliste!W14)))</f>
        <v>UN
Nr 1863  Gef.
Zettel 3  H</v>
      </c>
    </row>
    <row r="26" spans="1:22" s="1" customFormat="1" ht="15" customHeight="1" x14ac:dyDescent="0.15">
      <c r="A26" s="169">
        <f t="shared" si="4"/>
        <v>9</v>
      </c>
      <c r="B26" s="169">
        <f t="shared" si="0"/>
        <v>22</v>
      </c>
      <c r="C26" s="409">
        <f>IF(ISBLANK(Wagenliste!B15),"",Wagenliste!B15)</f>
        <v>378078308970</v>
      </c>
      <c r="D26" s="410"/>
      <c r="E26" s="410"/>
      <c r="F26" s="410"/>
      <c r="G26" s="411"/>
      <c r="H26" s="164" t="str">
        <f t="shared" si="1"/>
        <v>Z</v>
      </c>
      <c r="I26" s="202">
        <f>IF(OR(M26="0",M26=""),Wagenliste!G15,"-")</f>
        <v>4</v>
      </c>
      <c r="J26" s="202" t="str">
        <f>IF(M26="0","-",IF(M26&gt;0,Wagenliste!G15,"-"))</f>
        <v>-</v>
      </c>
      <c r="K26" s="165">
        <f>IF(ISBLANK(Wagenliste!H15),"",Wagenliste!H15)</f>
        <v>16.399999999999999</v>
      </c>
      <c r="L26" s="166" t="e">
        <f t="shared" si="2"/>
        <v>#VALUE!</v>
      </c>
      <c r="M26" s="166" t="str">
        <f>IF(C26="","",IF(OR(ISBLANK(Wagenliste!I15),Wagenliste!I15=0),"0",Wagenliste!I15))</f>
        <v>0</v>
      </c>
      <c r="N26" s="166" t="str">
        <f>IF(ISBLANK(Wagenliste!J15),"",Wagenliste!J15)</f>
        <v/>
      </c>
      <c r="O26" s="203">
        <f>IF(C26="","",IF(Wagenliste!L15="","",Wagenliste!L15))</f>
        <v>58</v>
      </c>
      <c r="P26" s="203" t="str">
        <f>IF(C26="","",IF(Wagenliste!M15="","",Wagenliste!M15))</f>
        <v/>
      </c>
      <c r="Q26" s="204" t="str">
        <f>IF(C26="","",Wagenliste!K15)</f>
        <v>K</v>
      </c>
      <c r="R26" s="170">
        <f>IF(ISBLANK(Wagenliste!O15),"",Wagenliste!O15)</f>
        <v>20.2</v>
      </c>
      <c r="S26" s="167" t="str">
        <f>IF(C26="","",Wagenliste!$P$2)</f>
        <v>EGBK</v>
      </c>
      <c r="T26" s="167" t="str">
        <f>IF(C26="","",Wagenliste!$U$2)</f>
        <v xml:space="preserve">Schkeuditz Luftfracht </v>
      </c>
      <c r="U26" s="168" t="str">
        <f t="shared" si="3"/>
        <v>X</v>
      </c>
      <c r="V26" s="200" t="str">
        <f>IF(C26="","",(CONCATENATE(Wagenliste!$Q$6," ",Wagenliste!Q15,"  ",Wagenliste!$R$6," ",Wagenliste!R15,"  ",Wagenliste!W15)))</f>
        <v>UN
Nr 1863  Gef.
Zettel 3  H</v>
      </c>
    </row>
    <row r="27" spans="1:22" s="1" customFormat="1" ht="15" customHeight="1" x14ac:dyDescent="0.15">
      <c r="A27" s="169">
        <f t="shared" si="4"/>
        <v>10</v>
      </c>
      <c r="B27" s="169">
        <f t="shared" si="0"/>
        <v>21</v>
      </c>
      <c r="C27" s="409">
        <f>IF(ISBLANK(Wagenliste!B16),"",Wagenliste!B16)</f>
        <v>378079291522</v>
      </c>
      <c r="D27" s="410"/>
      <c r="E27" s="410"/>
      <c r="F27" s="410"/>
      <c r="G27" s="411"/>
      <c r="H27" s="164" t="str">
        <f t="shared" si="1"/>
        <v>Z</v>
      </c>
      <c r="I27" s="202">
        <f>IF(OR(M27="0",M27=""),Wagenliste!G16,"-")</f>
        <v>4</v>
      </c>
      <c r="J27" s="202" t="str">
        <f>IF(M27="0","-",IF(M27&gt;0,Wagenliste!G16,"-"))</f>
        <v>-</v>
      </c>
      <c r="K27" s="165">
        <f>IF(ISBLANK(Wagenliste!H16),"",Wagenliste!H16)</f>
        <v>16.399999999999999</v>
      </c>
      <c r="L27" s="166" t="e">
        <f t="shared" si="2"/>
        <v>#VALUE!</v>
      </c>
      <c r="M27" s="166" t="str">
        <f>IF(C27="","",IF(OR(ISBLANK(Wagenliste!I16),Wagenliste!I16=0),"0",Wagenliste!I16))</f>
        <v>0</v>
      </c>
      <c r="N27" s="166" t="str">
        <f>IF(ISBLANK(Wagenliste!J16),"",Wagenliste!J16)</f>
        <v/>
      </c>
      <c r="O27" s="203">
        <f>IF(C27="","",IF(Wagenliste!L16="","",Wagenliste!L16))</f>
        <v>58</v>
      </c>
      <c r="P27" s="203" t="str">
        <f>IF(C27="","",IF(Wagenliste!M16="","",Wagenliste!M16))</f>
        <v/>
      </c>
      <c r="Q27" s="204" t="str">
        <f>IF(C27="","",Wagenliste!K16)</f>
        <v>K</v>
      </c>
      <c r="R27" s="170">
        <f>IF(ISBLANK(Wagenliste!O16),"",Wagenliste!O16)</f>
        <v>20</v>
      </c>
      <c r="S27" s="167" t="str">
        <f>IF(C27="","",Wagenliste!$P$2)</f>
        <v>EGBK</v>
      </c>
      <c r="T27" s="167" t="str">
        <f>IF(C27="","",Wagenliste!$U$2)</f>
        <v xml:space="preserve">Schkeuditz Luftfracht </v>
      </c>
      <c r="U27" s="168" t="str">
        <f t="shared" si="3"/>
        <v>X</v>
      </c>
      <c r="V27" s="200" t="str">
        <f>IF(C27="","",(CONCATENATE(Wagenliste!$Q$6," ",Wagenliste!Q16,"  ",Wagenliste!$R$6," ",Wagenliste!R16,"  ",Wagenliste!W16)))</f>
        <v>UN
Nr 1863  Gef.
Zettel 3  H</v>
      </c>
    </row>
    <row r="28" spans="1:22" s="1" customFormat="1" ht="15" customHeight="1" x14ac:dyDescent="0.15">
      <c r="A28" s="169">
        <f t="shared" si="4"/>
        <v>11</v>
      </c>
      <c r="B28" s="169">
        <f t="shared" si="0"/>
        <v>20</v>
      </c>
      <c r="C28" s="409">
        <f>IF(ISBLANK(Wagenliste!B17),"",Wagenliste!B17)</f>
        <v>378078431459</v>
      </c>
      <c r="D28" s="410"/>
      <c r="E28" s="410"/>
      <c r="F28" s="410"/>
      <c r="G28" s="411"/>
      <c r="H28" s="164" t="str">
        <f t="shared" si="1"/>
        <v>Z</v>
      </c>
      <c r="I28" s="202">
        <f>IF(OR(M28="0",M28=""),Wagenliste!G17,"-")</f>
        <v>4</v>
      </c>
      <c r="J28" s="202" t="str">
        <f>IF(M28="0","-",IF(M28&gt;0,Wagenliste!G17,"-"))</f>
        <v>-</v>
      </c>
      <c r="K28" s="165">
        <f>IF(ISBLANK(Wagenliste!H17),"",Wagenliste!H17)</f>
        <v>16.399999999999999</v>
      </c>
      <c r="L28" s="166" t="e">
        <f t="shared" si="2"/>
        <v>#VALUE!</v>
      </c>
      <c r="M28" s="166" t="str">
        <f>IF(C28="","",IF(OR(ISBLANK(Wagenliste!I17),Wagenliste!I17=0),"0",Wagenliste!I17))</f>
        <v>0</v>
      </c>
      <c r="N28" s="166" t="str">
        <f>IF(ISBLANK(Wagenliste!J17),"",Wagenliste!J17)</f>
        <v/>
      </c>
      <c r="O28" s="203">
        <f>IF(C28="","",IF(Wagenliste!L17="","",Wagenliste!L17))</f>
        <v>60</v>
      </c>
      <c r="P28" s="203" t="str">
        <f>IF(C28="","",IF(Wagenliste!M17="","",Wagenliste!M17))</f>
        <v/>
      </c>
      <c r="Q28" s="204" t="str">
        <f>IF(C28="","",Wagenliste!K17)</f>
        <v>K</v>
      </c>
      <c r="R28" s="170">
        <f>IF(ISBLANK(Wagenliste!O17),"",Wagenliste!O17)</f>
        <v>23.9</v>
      </c>
      <c r="S28" s="167" t="str">
        <f>IF(C28="","",Wagenliste!$P$2)</f>
        <v>EGBK</v>
      </c>
      <c r="T28" s="167" t="str">
        <f>IF(C28="","",Wagenliste!$U$2)</f>
        <v xml:space="preserve">Schkeuditz Luftfracht </v>
      </c>
      <c r="U28" s="168" t="str">
        <f t="shared" si="3"/>
        <v>X</v>
      </c>
      <c r="V28" s="200" t="str">
        <f>IF(C28="","",(CONCATENATE(Wagenliste!$Q$6," ",Wagenliste!Q17,"  ",Wagenliste!$R$6," ",Wagenliste!R17,"  ",Wagenliste!W17)))</f>
        <v>UN
Nr 1863  Gef.
Zettel 3  H</v>
      </c>
    </row>
    <row r="29" spans="1:22" s="1" customFormat="1" ht="15" customHeight="1" x14ac:dyDescent="0.15">
      <c r="A29" s="169">
        <f t="shared" si="4"/>
        <v>12</v>
      </c>
      <c r="B29" s="169">
        <f t="shared" si="0"/>
        <v>19</v>
      </c>
      <c r="C29" s="409">
        <f>IF(ISBLANK(Wagenliste!B18),"",Wagenliste!B18)</f>
        <v>378478296239</v>
      </c>
      <c r="D29" s="410"/>
      <c r="E29" s="410"/>
      <c r="F29" s="410"/>
      <c r="G29" s="411"/>
      <c r="H29" s="164" t="str">
        <f t="shared" si="1"/>
        <v>Z</v>
      </c>
      <c r="I29" s="202">
        <f>IF(OR(M29="0",M29=""),Wagenliste!G18,"-")</f>
        <v>4</v>
      </c>
      <c r="J29" s="202" t="str">
        <f>IF(M29="0","-",IF(M29&gt;0,Wagenliste!G18,"-"))</f>
        <v>-</v>
      </c>
      <c r="K29" s="165">
        <f>IF(ISBLANK(Wagenliste!H18),"",Wagenliste!H18)</f>
        <v>16.690000000000001</v>
      </c>
      <c r="L29" s="166" t="e">
        <f t="shared" si="2"/>
        <v>#VALUE!</v>
      </c>
      <c r="M29" s="166" t="str">
        <f>IF(C29="","",IF(OR(ISBLANK(Wagenliste!I18),Wagenliste!I18=0),"0",Wagenliste!I18))</f>
        <v>0</v>
      </c>
      <c r="N29" s="166" t="str">
        <f>IF(ISBLANK(Wagenliste!J18),"",Wagenliste!J18)</f>
        <v/>
      </c>
      <c r="O29" s="203">
        <f>IF(C29="","",IF(Wagenliste!L18="","",Wagenliste!L18))</f>
        <v>59</v>
      </c>
      <c r="P29" s="203" t="str">
        <f>IF(C29="","",IF(Wagenliste!M18="","",Wagenliste!M18))</f>
        <v/>
      </c>
      <c r="Q29" s="204" t="str">
        <f>IF(C29="","",Wagenliste!K18)</f>
        <v>K</v>
      </c>
      <c r="R29" s="170">
        <f>IF(ISBLANK(Wagenliste!O18),"",Wagenliste!O18)</f>
        <v>22.1</v>
      </c>
      <c r="S29" s="167" t="str">
        <f>IF(C29="","",Wagenliste!$P$2)</f>
        <v>EGBK</v>
      </c>
      <c r="T29" s="167" t="str">
        <f>IF(C29="","",Wagenliste!$U$2)</f>
        <v xml:space="preserve">Schkeuditz Luftfracht </v>
      </c>
      <c r="U29" s="168" t="str">
        <f t="shared" si="3"/>
        <v>X</v>
      </c>
      <c r="V29" s="200" t="str">
        <f>IF(C29="","",(CONCATENATE(Wagenliste!$Q$6," ",Wagenliste!Q18,"  ",Wagenliste!$R$6," ",Wagenliste!R18,"  ",Wagenliste!W18)))</f>
        <v>UN
Nr 1863  Gef.
Zettel 3  H</v>
      </c>
    </row>
    <row r="30" spans="1:22" s="1" customFormat="1" ht="15" customHeight="1" x14ac:dyDescent="0.15">
      <c r="A30" s="169">
        <f t="shared" si="4"/>
        <v>13</v>
      </c>
      <c r="B30" s="169">
        <f t="shared" si="0"/>
        <v>18</v>
      </c>
      <c r="C30" s="409">
        <f>IF(ISBLANK(Wagenliste!B19),"",Wagenliste!B19)</f>
        <v>378078308723</v>
      </c>
      <c r="D30" s="410"/>
      <c r="E30" s="410"/>
      <c r="F30" s="410"/>
      <c r="G30" s="411"/>
      <c r="H30" s="164" t="str">
        <f t="shared" si="1"/>
        <v>Z</v>
      </c>
      <c r="I30" s="202">
        <f>IF(OR(M30="0",M30=""),Wagenliste!G19,"-")</f>
        <v>4</v>
      </c>
      <c r="J30" s="202" t="str">
        <f>IF(M30="0","-",IF(M30&gt;0,Wagenliste!G19,"-"))</f>
        <v>-</v>
      </c>
      <c r="K30" s="165">
        <f>IF(ISBLANK(Wagenliste!H19),"",Wagenliste!H19)</f>
        <v>16.399999999999999</v>
      </c>
      <c r="L30" s="166" t="e">
        <f t="shared" si="2"/>
        <v>#VALUE!</v>
      </c>
      <c r="M30" s="166" t="str">
        <f>IF(C30="","",IF(OR(ISBLANK(Wagenliste!I19),Wagenliste!I19=0),"0",Wagenliste!I19))</f>
        <v>0</v>
      </c>
      <c r="N30" s="166" t="str">
        <f>IF(ISBLANK(Wagenliste!J19),"",Wagenliste!J19)</f>
        <v/>
      </c>
      <c r="O30" s="203">
        <f>IF(C30="","",IF(Wagenliste!L19="","",Wagenliste!L19))</f>
        <v>58</v>
      </c>
      <c r="P30" s="203" t="str">
        <f>IF(C30="","",IF(Wagenliste!M19="","",Wagenliste!M19))</f>
        <v/>
      </c>
      <c r="Q30" s="204" t="str">
        <f>IF(C30="","",Wagenliste!K19)</f>
        <v>K</v>
      </c>
      <c r="R30" s="170">
        <f>IF(ISBLANK(Wagenliste!O19),"",Wagenliste!O19)</f>
        <v>20.2</v>
      </c>
      <c r="S30" s="167" t="str">
        <f>IF(C30="","",Wagenliste!$P$2)</f>
        <v>EGBK</v>
      </c>
      <c r="T30" s="167" t="str">
        <f>IF(C30="","",Wagenliste!$U$2)</f>
        <v xml:space="preserve">Schkeuditz Luftfracht </v>
      </c>
      <c r="U30" s="168" t="str">
        <f t="shared" si="3"/>
        <v>X</v>
      </c>
      <c r="V30" s="200" t="str">
        <f>IF(C30="","",(CONCATENATE(Wagenliste!$Q$6," ",Wagenliste!Q19,"  ",Wagenliste!$R$6," ",Wagenliste!R19,"  ",Wagenliste!W19)))</f>
        <v>UN
Nr 1863  Gef.
Zettel 3  H</v>
      </c>
    </row>
    <row r="31" spans="1:22" s="1" customFormat="1" ht="15" customHeight="1" x14ac:dyDescent="0.15">
      <c r="A31" s="169">
        <f t="shared" si="4"/>
        <v>14</v>
      </c>
      <c r="B31" s="169">
        <f t="shared" si="0"/>
        <v>17</v>
      </c>
      <c r="C31" s="409">
        <f>IF(ISBLANK(Wagenliste!B20),"",Wagenliste!B20)</f>
        <v>338078369851</v>
      </c>
      <c r="D31" s="410"/>
      <c r="E31" s="410"/>
      <c r="F31" s="410"/>
      <c r="G31" s="411"/>
      <c r="H31" s="164" t="str">
        <f t="shared" si="1"/>
        <v>Z</v>
      </c>
      <c r="I31" s="202">
        <f>IF(OR(M31="0",M31=""),Wagenliste!G20,"-")</f>
        <v>4</v>
      </c>
      <c r="J31" s="202" t="str">
        <f>IF(M31="0","-",IF(M31&gt;0,Wagenliste!G20,"-"))</f>
        <v>-</v>
      </c>
      <c r="K31" s="165">
        <f>IF(ISBLANK(Wagenliste!H20),"",Wagenliste!H20)</f>
        <v>16.690000000000001</v>
      </c>
      <c r="L31" s="166" t="e">
        <f t="shared" si="2"/>
        <v>#VALUE!</v>
      </c>
      <c r="M31" s="166" t="str">
        <f>IF(C31="","",IF(OR(ISBLANK(Wagenliste!I20),Wagenliste!I20=0),"0",Wagenliste!I20))</f>
        <v>0</v>
      </c>
      <c r="N31" s="166" t="str">
        <f>IF(ISBLANK(Wagenliste!J20),"",Wagenliste!J20)</f>
        <v/>
      </c>
      <c r="O31" s="203">
        <f>IF(C31="","",IF(Wagenliste!L20="","",Wagenliste!L20))</f>
        <v>60</v>
      </c>
      <c r="P31" s="203" t="str">
        <f>IF(C31="","",IF(Wagenliste!M20="","",Wagenliste!M20))</f>
        <v/>
      </c>
      <c r="Q31" s="204" t="str">
        <f>IF(C31="","",Wagenliste!K20)</f>
        <v>K</v>
      </c>
      <c r="R31" s="170">
        <f>IF(ISBLANK(Wagenliste!O20),"",Wagenliste!O20)</f>
        <v>22.1</v>
      </c>
      <c r="S31" s="167" t="str">
        <f>IF(C31="","",Wagenliste!$P$2)</f>
        <v>EGBK</v>
      </c>
      <c r="T31" s="167" t="str">
        <f>IF(C31="","",Wagenliste!$U$2)</f>
        <v xml:space="preserve">Schkeuditz Luftfracht </v>
      </c>
      <c r="U31" s="168" t="str">
        <f t="shared" si="3"/>
        <v>X</v>
      </c>
      <c r="V31" s="200" t="str">
        <f>IF(C31="","",(CONCATENATE(Wagenliste!$Q$6," ",Wagenliste!Q20,"  ",Wagenliste!$R$6," ",Wagenliste!R20,"  ",Wagenliste!W20)))</f>
        <v>UN
Nr 1863  Gef.
Zettel 3  H</v>
      </c>
    </row>
    <row r="32" spans="1:22" s="1" customFormat="1" ht="15" customHeight="1" x14ac:dyDescent="0.15">
      <c r="A32" s="169">
        <f t="shared" si="4"/>
        <v>15</v>
      </c>
      <c r="B32" s="169">
        <f t="shared" si="0"/>
        <v>16</v>
      </c>
      <c r="C32" s="409">
        <f>IF(ISBLANK(Wagenliste!B21),"",Wagenliste!B21)</f>
        <v>338078369836</v>
      </c>
      <c r="D32" s="410"/>
      <c r="E32" s="410"/>
      <c r="F32" s="410"/>
      <c r="G32" s="411"/>
      <c r="H32" s="164" t="str">
        <f t="shared" si="1"/>
        <v>Z</v>
      </c>
      <c r="I32" s="202">
        <f>IF(OR(M32="0",M32=""),Wagenliste!G21,"-")</f>
        <v>4</v>
      </c>
      <c r="J32" s="202" t="str">
        <f>IF(M32="0","-",IF(M32&gt;0,Wagenliste!G21,"-"))</f>
        <v>-</v>
      </c>
      <c r="K32" s="165">
        <f>IF(ISBLANK(Wagenliste!H21),"",Wagenliste!H21)</f>
        <v>16.600000000000001</v>
      </c>
      <c r="L32" s="166" t="e">
        <f t="shared" si="2"/>
        <v>#VALUE!</v>
      </c>
      <c r="M32" s="166" t="str">
        <f>IF(C32="","",IF(OR(ISBLANK(Wagenliste!I21),Wagenliste!I21=0),"0",Wagenliste!I21))</f>
        <v>0</v>
      </c>
      <c r="N32" s="166" t="str">
        <f>IF(ISBLANK(Wagenliste!J21),"",Wagenliste!J21)</f>
        <v/>
      </c>
      <c r="O32" s="203">
        <f>IF(C32="","",IF(Wagenliste!L21="","",Wagenliste!L21))</f>
        <v>60</v>
      </c>
      <c r="P32" s="203" t="str">
        <f>IF(C32="","",IF(Wagenliste!M21="","",Wagenliste!M21))</f>
        <v/>
      </c>
      <c r="Q32" s="204" t="str">
        <f>IF(C32="","",Wagenliste!K21)</f>
        <v>K</v>
      </c>
      <c r="R32" s="170">
        <f>IF(ISBLANK(Wagenliste!O21),"",Wagenliste!O21)</f>
        <v>23.1</v>
      </c>
      <c r="S32" s="167" t="str">
        <f>IF(C32="","",Wagenliste!$P$2)</f>
        <v>EGBK</v>
      </c>
      <c r="T32" s="167" t="str">
        <f>IF(C32="","",Wagenliste!$U$2)</f>
        <v xml:space="preserve">Schkeuditz Luftfracht </v>
      </c>
      <c r="U32" s="168" t="str">
        <f t="shared" si="3"/>
        <v>X</v>
      </c>
      <c r="V32" s="200" t="str">
        <f>IF(C32="","",(CONCATENATE(Wagenliste!$Q$6," ",Wagenliste!Q21,"  ",Wagenliste!$R$6," ",Wagenliste!R21,"  ",Wagenliste!W21)))</f>
        <v>UN
Nr 1863  Gef.
Zettel 3  H</v>
      </c>
    </row>
    <row r="33" spans="1:22" s="1" customFormat="1" ht="15" customHeight="1" x14ac:dyDescent="0.15">
      <c r="A33" s="169">
        <f t="shared" si="4"/>
        <v>16</v>
      </c>
      <c r="B33" s="169">
        <f t="shared" si="0"/>
        <v>15</v>
      </c>
      <c r="C33" s="409">
        <f>IF(ISBLANK(Wagenliste!B22),"",Wagenliste!B22)</f>
        <v>378478296288</v>
      </c>
      <c r="D33" s="410"/>
      <c r="E33" s="410"/>
      <c r="F33" s="410"/>
      <c r="G33" s="411"/>
      <c r="H33" s="164" t="str">
        <f t="shared" si="1"/>
        <v>Z</v>
      </c>
      <c r="I33" s="202">
        <f>IF(OR(M33="0",M33=""),Wagenliste!G22,"-")</f>
        <v>4</v>
      </c>
      <c r="J33" s="202" t="str">
        <f>IF(M33="0","-",IF(M33&gt;0,Wagenliste!G22,"-"))</f>
        <v>-</v>
      </c>
      <c r="K33" s="165">
        <f>IF(ISBLANK(Wagenliste!H22),"",Wagenliste!H22)</f>
        <v>16.690000000000001</v>
      </c>
      <c r="L33" s="166" t="e">
        <f t="shared" si="2"/>
        <v>#VALUE!</v>
      </c>
      <c r="M33" s="166" t="str">
        <f>IF(C33="","",IF(OR(ISBLANK(Wagenliste!I22),Wagenliste!I22=0),"0",Wagenliste!I22))</f>
        <v>0</v>
      </c>
      <c r="N33" s="166" t="str">
        <f>IF(ISBLANK(Wagenliste!J22),"",Wagenliste!J22)</f>
        <v/>
      </c>
      <c r="O33" s="203">
        <f>IF(C33="","",IF(Wagenliste!L22="","",Wagenliste!L22))</f>
        <v>59</v>
      </c>
      <c r="P33" s="203" t="str">
        <f>IF(C33="","",IF(Wagenliste!M22="","",Wagenliste!M22))</f>
        <v/>
      </c>
      <c r="Q33" s="204" t="str">
        <f>IF(C33="","",Wagenliste!K22)</f>
        <v>K</v>
      </c>
      <c r="R33" s="170">
        <f>IF(ISBLANK(Wagenliste!O22),"",Wagenliste!O22)</f>
        <v>22.1</v>
      </c>
      <c r="S33" s="167" t="str">
        <f>IF(C33="","",Wagenliste!$P$2)</f>
        <v>EGBK</v>
      </c>
      <c r="T33" s="167" t="str">
        <f>IF(C33="","",Wagenliste!$U$2)</f>
        <v xml:space="preserve">Schkeuditz Luftfracht </v>
      </c>
      <c r="U33" s="168" t="str">
        <f t="shared" si="3"/>
        <v>X</v>
      </c>
      <c r="V33" s="200" t="str">
        <f>IF(C33="","",(CONCATENATE(Wagenliste!$Q$6," ",Wagenliste!Q22,"  ",Wagenliste!$R$6," ",Wagenliste!R22,"  ",Wagenliste!W22)))</f>
        <v>UN
Nr 1863  Gef.
Zettel 3  H</v>
      </c>
    </row>
    <row r="34" spans="1:22" s="1" customFormat="1" ht="15" customHeight="1" x14ac:dyDescent="0.15">
      <c r="A34" s="169">
        <f t="shared" si="4"/>
        <v>17</v>
      </c>
      <c r="B34" s="169">
        <f t="shared" si="0"/>
        <v>14</v>
      </c>
      <c r="C34" s="409">
        <f>IF(ISBLANK(Wagenliste!B23),"",Wagenliste!B23)</f>
        <v>335478460553</v>
      </c>
      <c r="D34" s="410"/>
      <c r="E34" s="410"/>
      <c r="F34" s="410"/>
      <c r="G34" s="411"/>
      <c r="H34" s="164" t="str">
        <f t="shared" si="1"/>
        <v>Z</v>
      </c>
      <c r="I34" s="202">
        <f>IF(OR(M34="0",M34=""),Wagenliste!G23,"-")</f>
        <v>4</v>
      </c>
      <c r="J34" s="202" t="str">
        <f>IF(M34="0","-",IF(M34&gt;0,Wagenliste!G23,"-"))</f>
        <v>-</v>
      </c>
      <c r="K34" s="165">
        <f>IF(ISBLANK(Wagenliste!H23),"",Wagenliste!H23)</f>
        <v>16.399999999999999</v>
      </c>
      <c r="L34" s="166" t="e">
        <f t="shared" si="2"/>
        <v>#VALUE!</v>
      </c>
      <c r="M34" s="166" t="str">
        <f>IF(C34="","",IF(OR(ISBLANK(Wagenliste!I23),Wagenliste!I23=0),"0",Wagenliste!I23))</f>
        <v>0</v>
      </c>
      <c r="N34" s="166" t="str">
        <f>IF(ISBLANK(Wagenliste!J23),"",Wagenliste!J23)</f>
        <v/>
      </c>
      <c r="O34" s="203">
        <f>IF(C34="","",IF(Wagenliste!L23="","",Wagenliste!L23))</f>
        <v>58</v>
      </c>
      <c r="P34" s="203" t="str">
        <f>IF(C34="","",IF(Wagenliste!M23="","",Wagenliste!M23))</f>
        <v/>
      </c>
      <c r="Q34" s="204" t="str">
        <f>IF(C34="","",Wagenliste!K23)</f>
        <v>K</v>
      </c>
      <c r="R34" s="170">
        <f>IF(ISBLANK(Wagenliste!O23),"",Wagenliste!O23)</f>
        <v>20.2</v>
      </c>
      <c r="S34" s="167" t="str">
        <f>IF(C34="","",Wagenliste!$P$2)</f>
        <v>EGBK</v>
      </c>
      <c r="T34" s="167" t="str">
        <f>IF(C34="","",Wagenliste!$U$2)</f>
        <v xml:space="preserve">Schkeuditz Luftfracht </v>
      </c>
      <c r="U34" s="168" t="str">
        <f t="shared" si="3"/>
        <v>X</v>
      </c>
      <c r="V34" s="200" t="str">
        <f>IF(C34="","",(CONCATENATE(Wagenliste!$Q$6," ",Wagenliste!Q23,"  ",Wagenliste!$R$6," ",Wagenliste!R23,"  ",Wagenliste!W23)))</f>
        <v>UN
Nr 1863  Gef.
Zettel 3  H</v>
      </c>
    </row>
    <row r="35" spans="1:22" s="1" customFormat="1" ht="15" customHeight="1" x14ac:dyDescent="0.15">
      <c r="A35" s="169">
        <f t="shared" si="4"/>
        <v>18</v>
      </c>
      <c r="B35" s="169">
        <f t="shared" si="0"/>
        <v>13</v>
      </c>
      <c r="C35" s="409">
        <f>IF(ISBLANK(Wagenliste!B24),"",Wagenliste!B24)</f>
        <v>378478295926</v>
      </c>
      <c r="D35" s="410"/>
      <c r="E35" s="410"/>
      <c r="F35" s="410"/>
      <c r="G35" s="411"/>
      <c r="H35" s="164" t="str">
        <f t="shared" si="1"/>
        <v>Z</v>
      </c>
      <c r="I35" s="202">
        <f>IF(OR(M35="0",M35=""),Wagenliste!G24,"-")</f>
        <v>4</v>
      </c>
      <c r="J35" s="202" t="str">
        <f>IF(M35="0","-",IF(M35&gt;0,Wagenliste!G24,"-"))</f>
        <v>-</v>
      </c>
      <c r="K35" s="165">
        <f>IF(ISBLANK(Wagenliste!H24),"",Wagenliste!H24)</f>
        <v>16.690000000000001</v>
      </c>
      <c r="L35" s="166" t="e">
        <f t="shared" si="2"/>
        <v>#VALUE!</v>
      </c>
      <c r="M35" s="166" t="str">
        <f>IF(C35="","",IF(OR(ISBLANK(Wagenliste!I24),Wagenliste!I24=0),"0",Wagenliste!I24))</f>
        <v>0</v>
      </c>
      <c r="N35" s="166" t="str">
        <f>IF(ISBLANK(Wagenliste!J24),"",Wagenliste!J24)</f>
        <v/>
      </c>
      <c r="O35" s="203">
        <f>IF(C35="","",IF(Wagenliste!L24="","",Wagenliste!L24))</f>
        <v>59</v>
      </c>
      <c r="P35" s="203" t="str">
        <f>IF(C35="","",IF(Wagenliste!M24="","",Wagenliste!M24))</f>
        <v/>
      </c>
      <c r="Q35" s="204" t="str">
        <f>IF(C35="","",Wagenliste!K24)</f>
        <v>K</v>
      </c>
      <c r="R35" s="170">
        <f>IF(ISBLANK(Wagenliste!O24),"",Wagenliste!O24)</f>
        <v>22.1</v>
      </c>
      <c r="S35" s="167" t="str">
        <f>IF(C35="","",Wagenliste!$P$2)</f>
        <v>EGBK</v>
      </c>
      <c r="T35" s="167" t="str">
        <f>IF(C35="","",Wagenliste!$U$2)</f>
        <v xml:space="preserve">Schkeuditz Luftfracht </v>
      </c>
      <c r="U35" s="168" t="str">
        <f t="shared" si="3"/>
        <v>X</v>
      </c>
      <c r="V35" s="200" t="str">
        <f>IF(C35="","",(CONCATENATE(Wagenliste!$Q$6," ",Wagenliste!Q24,"  ",Wagenliste!$R$6," ",Wagenliste!R24,"  ",Wagenliste!W24)))</f>
        <v>UN
Nr 1863  Gef.
Zettel 3  H</v>
      </c>
    </row>
    <row r="36" spans="1:22" s="1" customFormat="1" ht="15" customHeight="1" x14ac:dyDescent="0.15">
      <c r="A36" s="169">
        <f t="shared" si="4"/>
        <v>19</v>
      </c>
      <c r="B36" s="169">
        <f t="shared" si="0"/>
        <v>12</v>
      </c>
      <c r="C36" s="409">
        <f>IF(ISBLANK(Wagenliste!B25),"",Wagenliste!B25)</f>
        <v>378478296718</v>
      </c>
      <c r="D36" s="410"/>
      <c r="E36" s="410"/>
      <c r="F36" s="410"/>
      <c r="G36" s="411"/>
      <c r="H36" s="164" t="str">
        <f t="shared" si="1"/>
        <v>Z</v>
      </c>
      <c r="I36" s="202">
        <f>IF(OR(M36="0",M36=""),Wagenliste!G25,"-")</f>
        <v>4</v>
      </c>
      <c r="J36" s="202" t="str">
        <f>IF(M36="0","-",IF(M36&gt;0,Wagenliste!G25,"-"))</f>
        <v>-</v>
      </c>
      <c r="K36" s="165">
        <f>IF(ISBLANK(Wagenliste!H25),"",Wagenliste!H25)</f>
        <v>16.690000000000001</v>
      </c>
      <c r="L36" s="166" t="e">
        <f t="shared" si="2"/>
        <v>#VALUE!</v>
      </c>
      <c r="M36" s="166" t="str">
        <f>IF(C36="","",IF(OR(ISBLANK(Wagenliste!I25),Wagenliste!I25=0),"0",Wagenliste!I25))</f>
        <v>0</v>
      </c>
      <c r="N36" s="166" t="str">
        <f>IF(ISBLANK(Wagenliste!J25),"",Wagenliste!J25)</f>
        <v/>
      </c>
      <c r="O36" s="203">
        <f>IF(C36="","",IF(Wagenliste!L25="","",Wagenliste!L25))</f>
        <v>59</v>
      </c>
      <c r="P36" s="203" t="str">
        <f>IF(C36="","",IF(Wagenliste!M25="","",Wagenliste!M25))</f>
        <v/>
      </c>
      <c r="Q36" s="204" t="str">
        <f>IF(C36="","",Wagenliste!K25)</f>
        <v>K</v>
      </c>
      <c r="R36" s="170">
        <f>IF(ISBLANK(Wagenliste!O25),"",Wagenliste!O25)</f>
        <v>21.1</v>
      </c>
      <c r="S36" s="167" t="str">
        <f>IF(C36="","",Wagenliste!$P$2)</f>
        <v>EGBK</v>
      </c>
      <c r="T36" s="167" t="str">
        <f>IF(C36="","",Wagenliste!$U$2)</f>
        <v xml:space="preserve">Schkeuditz Luftfracht </v>
      </c>
      <c r="U36" s="168" t="str">
        <f t="shared" si="3"/>
        <v>X</v>
      </c>
      <c r="V36" s="200" t="str">
        <f>IF(C36="","",(CONCATENATE(Wagenliste!$Q$6," ",Wagenliste!Q25,"  ",Wagenliste!$R$6," ",Wagenliste!R25,"  ",Wagenliste!W25)))</f>
        <v>UN
Nr 1863  Gef.
Zettel 3  H</v>
      </c>
    </row>
    <row r="37" spans="1:22" s="1" customFormat="1" ht="15" customHeight="1" x14ac:dyDescent="0.15">
      <c r="A37" s="169">
        <f t="shared" si="4"/>
        <v>20</v>
      </c>
      <c r="B37" s="169">
        <f t="shared" si="0"/>
        <v>11</v>
      </c>
      <c r="C37" s="409">
        <f>IF(ISBLANK(Wagenliste!B26),"",Wagenliste!B26)</f>
        <v>378079297701</v>
      </c>
      <c r="D37" s="410"/>
      <c r="E37" s="410"/>
      <c r="F37" s="410"/>
      <c r="G37" s="411"/>
      <c r="H37" s="164" t="str">
        <f t="shared" si="1"/>
        <v>Z</v>
      </c>
      <c r="I37" s="202">
        <f>IF(OR(M37="0",M37=""),Wagenliste!G26,"-")</f>
        <v>4</v>
      </c>
      <c r="J37" s="202" t="str">
        <f>IF(M37="0","-",IF(M37&gt;0,Wagenliste!G26,"-"))</f>
        <v>-</v>
      </c>
      <c r="K37" s="165">
        <f>IF(ISBLANK(Wagenliste!H26),"",Wagenliste!H26)</f>
        <v>16.399999999999999</v>
      </c>
      <c r="L37" s="166" t="e">
        <f t="shared" si="2"/>
        <v>#VALUE!</v>
      </c>
      <c r="M37" s="166" t="str">
        <f>IF(C37="","",IF(OR(ISBLANK(Wagenliste!I26),Wagenliste!I26=0),"0",Wagenliste!I26))</f>
        <v>0</v>
      </c>
      <c r="N37" s="166" t="str">
        <f>IF(ISBLANK(Wagenliste!J26),"",Wagenliste!J26)</f>
        <v/>
      </c>
      <c r="O37" s="203">
        <f>IF(C37="","",IF(Wagenliste!L26="","",Wagenliste!L26))</f>
        <v>59</v>
      </c>
      <c r="P37" s="203" t="str">
        <f>IF(C37="","",IF(Wagenliste!M26="","",Wagenliste!M26))</f>
        <v/>
      </c>
      <c r="Q37" s="204" t="str">
        <f>IF(C37="","",Wagenliste!K26)</f>
        <v>K</v>
      </c>
      <c r="R37" s="170">
        <f>IF(ISBLANK(Wagenliste!O26),"",Wagenliste!O26)</f>
        <v>23.8</v>
      </c>
      <c r="S37" s="167" t="str">
        <f>IF(C37="","",Wagenliste!$P$2)</f>
        <v>EGBK</v>
      </c>
      <c r="T37" s="167" t="str">
        <f>IF(C37="","",Wagenliste!$U$2)</f>
        <v xml:space="preserve">Schkeuditz Luftfracht </v>
      </c>
      <c r="U37" s="168" t="str">
        <f t="shared" si="3"/>
        <v>X</v>
      </c>
      <c r="V37" s="200" t="str">
        <f>IF(C37="","",(CONCATENATE(Wagenliste!$Q$6," ",Wagenliste!Q26,"  ",Wagenliste!$R$6," ",Wagenliste!R26,"  ",Wagenliste!W26)))</f>
        <v>UN
Nr 1863  Gef.
Zettel 3  H</v>
      </c>
    </row>
    <row r="38" spans="1:22" s="1" customFormat="1" ht="15" customHeight="1" x14ac:dyDescent="0.15">
      <c r="A38" s="169">
        <f t="shared" si="4"/>
        <v>21</v>
      </c>
      <c r="B38" s="169">
        <f t="shared" si="0"/>
        <v>10</v>
      </c>
      <c r="C38" s="409" t="str">
        <f>IF(ISBLANK(Wagenliste!B27),"",Wagenliste!B27)</f>
        <v/>
      </c>
      <c r="D38" s="410"/>
      <c r="E38" s="410"/>
      <c r="F38" s="410"/>
      <c r="G38" s="411"/>
      <c r="H38" s="164" t="str">
        <f t="shared" si="1"/>
        <v/>
      </c>
      <c r="I38" s="202">
        <f>IF(OR(M38="0",M38=""),Wagenliste!G27,"-")</f>
        <v>0</v>
      </c>
      <c r="J38" s="202">
        <f>IF(M38="0","-",IF(M38&gt;0,Wagenliste!G27,"-"))</f>
        <v>0</v>
      </c>
      <c r="K38" s="165" t="str">
        <f>IF(ISBLANK(Wagenliste!H27),"",Wagenliste!H27)</f>
        <v/>
      </c>
      <c r="L38" s="166" t="str">
        <f t="shared" si="2"/>
        <v/>
      </c>
      <c r="M38" s="166" t="str">
        <f>IF(C38="","",IF(OR(ISBLANK(Wagenliste!I27),Wagenliste!I27=0),"0",Wagenliste!I27))</f>
        <v/>
      </c>
      <c r="N38" s="166" t="str">
        <f>IF(ISBLANK(Wagenliste!J27),"",Wagenliste!J27)</f>
        <v/>
      </c>
      <c r="O38" s="203" t="str">
        <f>IF(C38="","",IF(Wagenliste!L27="","",Wagenliste!L27))</f>
        <v/>
      </c>
      <c r="P38" s="203" t="str">
        <f>IF(C38="","",IF(Wagenliste!M27="","",Wagenliste!M27))</f>
        <v/>
      </c>
      <c r="Q38" s="204" t="str">
        <f>IF(C38="","",Wagenliste!K27)</f>
        <v/>
      </c>
      <c r="R38" s="170" t="str">
        <f>IF(ISBLANK(Wagenliste!O27),"",Wagenliste!O27)</f>
        <v/>
      </c>
      <c r="S38" s="167" t="str">
        <f>IF(C38="","",Wagenliste!$P$2)</f>
        <v/>
      </c>
      <c r="T38" s="167" t="str">
        <f>IF(C38="","",Wagenliste!$U$2)</f>
        <v/>
      </c>
      <c r="U38" s="168" t="str">
        <f>IF(C38="","","X")</f>
        <v/>
      </c>
      <c r="V38" s="200" t="str">
        <f>IF(C38="","",(CONCATENATE(Wagenliste!$Q$6," ",Wagenliste!Q27,"  ",Wagenliste!$R$6," ",Wagenliste!R27,"  ",Wagenliste!W27)))</f>
        <v/>
      </c>
    </row>
    <row r="39" spans="1:22" s="1" customFormat="1" ht="15" customHeight="1" x14ac:dyDescent="0.15">
      <c r="A39" s="169">
        <f t="shared" si="4"/>
        <v>22</v>
      </c>
      <c r="B39" s="169">
        <f t="shared" si="0"/>
        <v>9</v>
      </c>
      <c r="C39" s="409" t="str">
        <f>IF(ISBLANK(Wagenliste!B28),"",Wagenliste!B28)</f>
        <v/>
      </c>
      <c r="D39" s="410"/>
      <c r="E39" s="410"/>
      <c r="F39" s="410"/>
      <c r="G39" s="411"/>
      <c r="H39" s="164" t="str">
        <f t="shared" si="1"/>
        <v/>
      </c>
      <c r="I39" s="202">
        <f>IF(OR(M39="0",M39=""),Wagenliste!G28,"-")</f>
        <v>0</v>
      </c>
      <c r="J39" s="202">
        <f>IF(M39="0","-",IF(M39&gt;0,Wagenliste!G28,"-"))</f>
        <v>0</v>
      </c>
      <c r="K39" s="165" t="str">
        <f>IF(ISBLANK(Wagenliste!H28),"",Wagenliste!H28)</f>
        <v/>
      </c>
      <c r="L39" s="166" t="str">
        <f t="shared" si="2"/>
        <v/>
      </c>
      <c r="M39" s="166" t="str">
        <f>IF(C39="","",IF(OR(ISBLANK(Wagenliste!I28),Wagenliste!I28=0),"0",Wagenliste!I28))</f>
        <v/>
      </c>
      <c r="N39" s="166" t="str">
        <f>IF(ISBLANK(Wagenliste!J28),"",Wagenliste!J28)</f>
        <v/>
      </c>
      <c r="O39" s="203" t="str">
        <f>IF(C39="","",IF(Wagenliste!L28="","",Wagenliste!L28))</f>
        <v/>
      </c>
      <c r="P39" s="203" t="str">
        <f>IF(C39="","",IF(Wagenliste!M28="","",Wagenliste!M28))</f>
        <v/>
      </c>
      <c r="Q39" s="204" t="str">
        <f>IF(C39="","",Wagenliste!K28)</f>
        <v/>
      </c>
      <c r="R39" s="170" t="str">
        <f>IF(ISBLANK(Wagenliste!O28),"",Wagenliste!O28)</f>
        <v/>
      </c>
      <c r="S39" s="167" t="str">
        <f>IF(C39="","",Wagenliste!$P$2)</f>
        <v/>
      </c>
      <c r="T39" s="167" t="str">
        <f>IF(C39="","",Wagenliste!$U$2)</f>
        <v/>
      </c>
      <c r="U39" s="168" t="str">
        <f t="shared" ref="U39:U47" si="5">IF(C39="","","X")</f>
        <v/>
      </c>
      <c r="V39" s="200" t="str">
        <f>IF(C39="","",(CONCATENATE(Wagenliste!$Q$6," ",Wagenliste!Q28,"  ",Wagenliste!$R$6," ",Wagenliste!R28,"  ",Wagenliste!W28)))</f>
        <v/>
      </c>
    </row>
    <row r="40" spans="1:22" s="1" customFormat="1" ht="15" customHeight="1" x14ac:dyDescent="0.15">
      <c r="A40" s="169">
        <f t="shared" si="4"/>
        <v>23</v>
      </c>
      <c r="B40" s="169">
        <f t="shared" si="0"/>
        <v>8</v>
      </c>
      <c r="C40" s="409" t="str">
        <f>IF(ISBLANK(Wagenliste!B29),"",Wagenliste!B29)</f>
        <v/>
      </c>
      <c r="D40" s="410"/>
      <c r="E40" s="410"/>
      <c r="F40" s="410"/>
      <c r="G40" s="411"/>
      <c r="H40" s="164" t="str">
        <f t="shared" si="1"/>
        <v/>
      </c>
      <c r="I40" s="202">
        <f>IF(OR(M40="0",M40=""),Wagenliste!G29,"-")</f>
        <v>0</v>
      </c>
      <c r="J40" s="202">
        <f>IF(M40="0","-",IF(M40&gt;0,Wagenliste!G29,"-"))</f>
        <v>0</v>
      </c>
      <c r="K40" s="165" t="str">
        <f>IF(ISBLANK(Wagenliste!H29),"",Wagenliste!H29)</f>
        <v/>
      </c>
      <c r="L40" s="166" t="str">
        <f t="shared" si="2"/>
        <v/>
      </c>
      <c r="M40" s="166" t="str">
        <f>IF(C40="","",IF(OR(ISBLANK(Wagenliste!I29),Wagenliste!I29=0),"0",Wagenliste!I29))</f>
        <v/>
      </c>
      <c r="N40" s="166" t="str">
        <f>IF(ISBLANK(Wagenliste!J29),"",Wagenliste!J29)</f>
        <v/>
      </c>
      <c r="O40" s="203" t="str">
        <f>IF(C40="","",IF(Wagenliste!L29="","",Wagenliste!L29))</f>
        <v/>
      </c>
      <c r="P40" s="203" t="str">
        <f>IF(C40="","",IF(Wagenliste!M29="","",Wagenliste!M29))</f>
        <v/>
      </c>
      <c r="Q40" s="204" t="str">
        <f>IF(C40="","",Wagenliste!K29)</f>
        <v/>
      </c>
      <c r="R40" s="170" t="str">
        <f>IF(ISBLANK(Wagenliste!O29),"",Wagenliste!O29)</f>
        <v/>
      </c>
      <c r="S40" s="167" t="str">
        <f>IF(C40="","",Wagenliste!$P$2)</f>
        <v/>
      </c>
      <c r="T40" s="167" t="str">
        <f>IF(C40="","",Wagenliste!$U$2)</f>
        <v/>
      </c>
      <c r="U40" s="168" t="str">
        <f t="shared" si="5"/>
        <v/>
      </c>
      <c r="V40" s="200" t="str">
        <f>IF(C40="","",(CONCATENATE(Wagenliste!$Q$6," ",Wagenliste!Q29,"  ",Wagenliste!$R$6," ",Wagenliste!R29,"  ",Wagenliste!W29)))</f>
        <v/>
      </c>
    </row>
    <row r="41" spans="1:22" s="1" customFormat="1" ht="15" customHeight="1" x14ac:dyDescent="0.15">
      <c r="A41" s="169">
        <f t="shared" si="4"/>
        <v>24</v>
      </c>
      <c r="B41" s="169">
        <f t="shared" si="0"/>
        <v>7</v>
      </c>
      <c r="C41" s="409" t="str">
        <f>IF(ISBLANK(Wagenliste!B30),"",Wagenliste!B30)</f>
        <v/>
      </c>
      <c r="D41" s="410"/>
      <c r="E41" s="410"/>
      <c r="F41" s="410"/>
      <c r="G41" s="411"/>
      <c r="H41" s="164" t="str">
        <f t="shared" si="1"/>
        <v/>
      </c>
      <c r="I41" s="202">
        <f>IF(OR(M41="0",M41=""),Wagenliste!G30,"-")</f>
        <v>0</v>
      </c>
      <c r="J41" s="202">
        <f>IF(M41="0","-",IF(M41&gt;0,Wagenliste!G30,"-"))</f>
        <v>0</v>
      </c>
      <c r="K41" s="165" t="str">
        <f>IF(ISBLANK(Wagenliste!H30),"",Wagenliste!H30)</f>
        <v/>
      </c>
      <c r="L41" s="166" t="str">
        <f t="shared" si="2"/>
        <v/>
      </c>
      <c r="M41" s="166" t="str">
        <f>IF(C41="","",IF(OR(ISBLANK(Wagenliste!I30),Wagenliste!I30=0),"0",Wagenliste!I30))</f>
        <v/>
      </c>
      <c r="N41" s="166" t="str">
        <f>IF(ISBLANK(Wagenliste!J30),"",Wagenliste!J30)</f>
        <v/>
      </c>
      <c r="O41" s="203" t="str">
        <f>IF(C41="","",IF(Wagenliste!L30="","",Wagenliste!L30))</f>
        <v/>
      </c>
      <c r="P41" s="203" t="str">
        <f>IF(C41="","",IF(Wagenliste!M30="","",Wagenliste!M30))</f>
        <v/>
      </c>
      <c r="Q41" s="204" t="str">
        <f>IF(C41="","",Wagenliste!K30)</f>
        <v/>
      </c>
      <c r="R41" s="170" t="str">
        <f>IF(ISBLANK(Wagenliste!O30),"",Wagenliste!O30)</f>
        <v/>
      </c>
      <c r="S41" s="167" t="str">
        <f>IF(C41="","",Wagenliste!$P$2)</f>
        <v/>
      </c>
      <c r="T41" s="167" t="str">
        <f>IF(C41="","",Wagenliste!$U$2)</f>
        <v/>
      </c>
      <c r="U41" s="168" t="str">
        <f t="shared" si="5"/>
        <v/>
      </c>
      <c r="V41" s="200" t="str">
        <f>IF(C41="","",(CONCATENATE(Wagenliste!$Q$6," ",Wagenliste!Q30,"  ",Wagenliste!$R$6," ",Wagenliste!R30,"  ",Wagenliste!W30)))</f>
        <v/>
      </c>
    </row>
    <row r="42" spans="1:22" s="1" customFormat="1" ht="15" customHeight="1" x14ac:dyDescent="0.15">
      <c r="A42" s="169">
        <f t="shared" si="4"/>
        <v>25</v>
      </c>
      <c r="B42" s="169">
        <f t="shared" si="0"/>
        <v>6</v>
      </c>
      <c r="C42" s="409" t="str">
        <f>IF(ISBLANK(Wagenliste!B31),"",Wagenliste!B31)</f>
        <v/>
      </c>
      <c r="D42" s="410"/>
      <c r="E42" s="410"/>
      <c r="F42" s="410"/>
      <c r="G42" s="411"/>
      <c r="H42" s="164" t="str">
        <f t="shared" si="1"/>
        <v/>
      </c>
      <c r="I42" s="202">
        <f>IF(OR(M42="0",M42=""),Wagenliste!G31,"-")</f>
        <v>0</v>
      </c>
      <c r="J42" s="202">
        <f>IF(M42="0","-",IF(M42&gt;0,Wagenliste!G31,"-"))</f>
        <v>0</v>
      </c>
      <c r="K42" s="165" t="str">
        <f>IF(ISBLANK(Wagenliste!H31),"",Wagenliste!H31)</f>
        <v/>
      </c>
      <c r="L42" s="166" t="str">
        <f t="shared" si="2"/>
        <v/>
      </c>
      <c r="M42" s="166" t="str">
        <f>IF(C42="","",IF(OR(ISBLANK(Wagenliste!I31),Wagenliste!I31=0),"0",Wagenliste!I31))</f>
        <v/>
      </c>
      <c r="N42" s="166" t="str">
        <f>IF(ISBLANK(Wagenliste!J31),"",Wagenliste!J31)</f>
        <v/>
      </c>
      <c r="O42" s="203" t="str">
        <f>IF(C42="","",IF(Wagenliste!L31="","",Wagenliste!L31))</f>
        <v/>
      </c>
      <c r="P42" s="203" t="str">
        <f>IF(C42="","",IF(Wagenliste!M31="","",Wagenliste!M31))</f>
        <v/>
      </c>
      <c r="Q42" s="204" t="str">
        <f>IF(C42="","",Wagenliste!K31)</f>
        <v/>
      </c>
      <c r="R42" s="170" t="str">
        <f>IF(ISBLANK(Wagenliste!O31),"",Wagenliste!O31)</f>
        <v/>
      </c>
      <c r="S42" s="167" t="str">
        <f>IF(C42="","",Wagenliste!$P$2)</f>
        <v/>
      </c>
      <c r="T42" s="167" t="str">
        <f>IF(C42="","",Wagenliste!$U$2)</f>
        <v/>
      </c>
      <c r="U42" s="168" t="str">
        <f t="shared" si="5"/>
        <v/>
      </c>
      <c r="V42" s="200" t="str">
        <f>IF(C42="","",(CONCATENATE(Wagenliste!$Q$6," ",Wagenliste!Q31,"  ",Wagenliste!$R$6," ",Wagenliste!R31,"  ",Wagenliste!W31)))</f>
        <v/>
      </c>
    </row>
    <row r="43" spans="1:22" s="1" customFormat="1" ht="15" customHeight="1" x14ac:dyDescent="0.15">
      <c r="A43" s="169">
        <f t="shared" si="4"/>
        <v>26</v>
      </c>
      <c r="B43" s="169">
        <f t="shared" si="0"/>
        <v>5</v>
      </c>
      <c r="C43" s="409" t="str">
        <f>IF(ISBLANK(Wagenliste!B32),"",Wagenliste!B32)</f>
        <v/>
      </c>
      <c r="D43" s="410"/>
      <c r="E43" s="410"/>
      <c r="F43" s="410"/>
      <c r="G43" s="411"/>
      <c r="H43" s="164" t="str">
        <f>IF(C43="","","Z")</f>
        <v/>
      </c>
      <c r="I43" s="202">
        <f>IF(OR(M43="0",M43=""),Wagenliste!G32,"-")</f>
        <v>0</v>
      </c>
      <c r="J43" s="202">
        <f>IF(M43="0","-",IF(M43&gt;0,Wagenliste!G32,"-"))</f>
        <v>0</v>
      </c>
      <c r="K43" s="165" t="str">
        <f>IF(ISBLANK(Wagenliste!H32),"",Wagenliste!H32)</f>
        <v/>
      </c>
      <c r="L43" s="166" t="str">
        <f t="shared" si="2"/>
        <v/>
      </c>
      <c r="M43" s="166" t="str">
        <f>IF(C43="","",IF(OR(ISBLANK(Wagenliste!I32),Wagenliste!I32=0),"0",Wagenliste!I32))</f>
        <v/>
      </c>
      <c r="N43" s="166" t="str">
        <f>IF(ISBLANK(Wagenliste!J32),"",Wagenliste!J32)</f>
        <v/>
      </c>
      <c r="O43" s="203" t="str">
        <f>IF(C43="","",IF(Wagenliste!L32="","",Wagenliste!L32))</f>
        <v/>
      </c>
      <c r="P43" s="203" t="str">
        <f>IF(C43="","",IF(Wagenliste!M32="","",Wagenliste!M32))</f>
        <v/>
      </c>
      <c r="Q43" s="204" t="str">
        <f>IF(C43="","",Wagenliste!K32)</f>
        <v/>
      </c>
      <c r="R43" s="170" t="str">
        <f>IF(ISBLANK(Wagenliste!O32),"",Wagenliste!O32)</f>
        <v/>
      </c>
      <c r="S43" s="167" t="str">
        <f>IF(C43="","",Wagenliste!$P$2)</f>
        <v/>
      </c>
      <c r="T43" s="167" t="str">
        <f>IF(C43="","",Wagenliste!$U$2)</f>
        <v/>
      </c>
      <c r="U43" s="168" t="str">
        <f t="shared" si="5"/>
        <v/>
      </c>
      <c r="V43" s="200" t="str">
        <f>IF(C43="","",(CONCATENATE(Wagenliste!$Q$6," ",Wagenliste!Q32,"  ",Wagenliste!$R$6," ",Wagenliste!R32,"  ",Wagenliste!W32)))</f>
        <v/>
      </c>
    </row>
    <row r="44" spans="1:22" s="1" customFormat="1" ht="15" customHeight="1" x14ac:dyDescent="0.15">
      <c r="A44" s="169">
        <f t="shared" si="4"/>
        <v>27</v>
      </c>
      <c r="B44" s="169">
        <f t="shared" si="0"/>
        <v>4</v>
      </c>
      <c r="C44" s="409" t="str">
        <f>IF(ISBLANK(Wagenliste!B33),"",Wagenliste!B33)</f>
        <v/>
      </c>
      <c r="D44" s="410"/>
      <c r="E44" s="410"/>
      <c r="F44" s="410"/>
      <c r="G44" s="411"/>
      <c r="H44" s="164" t="str">
        <f t="shared" ref="H44:H47" si="6">IF(C44="","","Z")</f>
        <v/>
      </c>
      <c r="I44" s="202">
        <f>IF(OR(M44="0",M44=""),Wagenliste!G33,"-")</f>
        <v>0</v>
      </c>
      <c r="J44" s="202">
        <f>IF(M44="0","-",IF(M44&gt;0,Wagenliste!G33,"-"))</f>
        <v>0</v>
      </c>
      <c r="K44" s="165" t="str">
        <f>IF(ISBLANK(Wagenliste!H33),"",Wagenliste!H33)</f>
        <v/>
      </c>
      <c r="L44" s="166" t="str">
        <f t="shared" si="2"/>
        <v/>
      </c>
      <c r="M44" s="166" t="str">
        <f>IF(C44="","",IF(OR(ISBLANK(Wagenliste!I33),Wagenliste!I33=0),"0",Wagenliste!I33))</f>
        <v/>
      </c>
      <c r="N44" s="166" t="str">
        <f>IF(ISBLANK(Wagenliste!J33),"",Wagenliste!J33)</f>
        <v/>
      </c>
      <c r="O44" s="203" t="str">
        <f>IF(C44="","",IF(Wagenliste!L33="","",Wagenliste!L33))</f>
        <v/>
      </c>
      <c r="P44" s="203" t="str">
        <f>IF(C44="","",IF(Wagenliste!M33="","",Wagenliste!M33))</f>
        <v/>
      </c>
      <c r="Q44" s="204" t="str">
        <f>IF(C44="","",Wagenliste!K33)</f>
        <v/>
      </c>
      <c r="R44" s="170" t="str">
        <f>IF(ISBLANK(Wagenliste!O33),"",Wagenliste!O33)</f>
        <v/>
      </c>
      <c r="S44" s="167" t="str">
        <f>IF(C44="","",Wagenliste!$P$2)</f>
        <v/>
      </c>
      <c r="T44" s="167" t="str">
        <f>IF(C44="","",Wagenliste!$U$2)</f>
        <v/>
      </c>
      <c r="U44" s="168" t="str">
        <f t="shared" si="5"/>
        <v/>
      </c>
      <c r="V44" s="200" t="str">
        <f>IF(C44="","",(CONCATENATE(Wagenliste!$Q$6," ",Wagenliste!Q33,"  ",Wagenliste!$R$6," ",Wagenliste!R33,"  ",Wagenliste!W33)))</f>
        <v/>
      </c>
    </row>
    <row r="45" spans="1:22" s="1" customFormat="1" ht="15" customHeight="1" x14ac:dyDescent="0.15">
      <c r="A45" s="169">
        <f t="shared" si="4"/>
        <v>28</v>
      </c>
      <c r="B45" s="169">
        <f t="shared" si="0"/>
        <v>3</v>
      </c>
      <c r="C45" s="409" t="str">
        <f>IF(ISBLANK(Wagenliste!B34),"",Wagenliste!B34)</f>
        <v/>
      </c>
      <c r="D45" s="410"/>
      <c r="E45" s="410"/>
      <c r="F45" s="410"/>
      <c r="G45" s="411"/>
      <c r="H45" s="164" t="str">
        <f t="shared" si="6"/>
        <v/>
      </c>
      <c r="I45" s="202">
        <f>IF(OR(M45="0",M45=""),Wagenliste!G34,"-")</f>
        <v>0</v>
      </c>
      <c r="J45" s="202">
        <f>IF(M45="0","-",IF(M45&gt;0,Wagenliste!G34,"-"))</f>
        <v>0</v>
      </c>
      <c r="K45" s="165" t="str">
        <f>IF(ISBLANK(Wagenliste!H34),"",Wagenliste!H34)</f>
        <v/>
      </c>
      <c r="L45" s="166" t="str">
        <f t="shared" si="2"/>
        <v/>
      </c>
      <c r="M45" s="166" t="str">
        <f>IF(C45="","",IF(OR(ISBLANK(Wagenliste!I34),Wagenliste!I34=0),"0",Wagenliste!I34))</f>
        <v/>
      </c>
      <c r="N45" s="166" t="str">
        <f>IF(ISBLANK(Wagenliste!J34),"",Wagenliste!J34)</f>
        <v/>
      </c>
      <c r="O45" s="203" t="str">
        <f>IF(C45="","",IF(Wagenliste!L34="","",Wagenliste!L34))</f>
        <v/>
      </c>
      <c r="P45" s="203" t="str">
        <f>IF(C45="","",IF(Wagenliste!M34="","",Wagenliste!M34))</f>
        <v/>
      </c>
      <c r="Q45" s="204" t="str">
        <f>IF(C45="","",Wagenliste!K34)</f>
        <v/>
      </c>
      <c r="R45" s="170" t="str">
        <f>IF(ISBLANK(Wagenliste!O34),"",Wagenliste!O34)</f>
        <v/>
      </c>
      <c r="S45" s="167" t="str">
        <f>IF(C45="","",Wagenliste!$P$2)</f>
        <v/>
      </c>
      <c r="T45" s="167" t="str">
        <f>IF(C45="","",Wagenliste!$U$2)</f>
        <v/>
      </c>
      <c r="U45" s="168" t="str">
        <f t="shared" si="5"/>
        <v/>
      </c>
      <c r="V45" s="200" t="str">
        <f>IF(C45="","",(CONCATENATE(Wagenliste!$Q$6," ",Wagenliste!Q34,"  ",Wagenliste!$R$6," ",Wagenliste!R34,"  ",Wagenliste!W34)))</f>
        <v/>
      </c>
    </row>
    <row r="46" spans="1:22" ht="15" customHeight="1" x14ac:dyDescent="0.15">
      <c r="A46" s="169">
        <f t="shared" si="4"/>
        <v>29</v>
      </c>
      <c r="B46" s="169">
        <f>B47+1</f>
        <v>2</v>
      </c>
      <c r="C46" s="409" t="str">
        <f>IF(ISBLANK(Wagenliste!B35),"",Wagenliste!B35)</f>
        <v/>
      </c>
      <c r="D46" s="410"/>
      <c r="E46" s="410"/>
      <c r="F46" s="410"/>
      <c r="G46" s="411"/>
      <c r="H46" s="164" t="str">
        <f t="shared" si="6"/>
        <v/>
      </c>
      <c r="I46" s="202">
        <f>IF(OR(M46="0",M46=""),Wagenliste!G35,"-")</f>
        <v>0</v>
      </c>
      <c r="J46" s="202">
        <f>IF(M46="0","-",IF(M46&gt;0,Wagenliste!G35,"-"))</f>
        <v>0</v>
      </c>
      <c r="K46" s="165" t="str">
        <f>IF(ISBLANK(Wagenliste!H35),"",Wagenliste!H35)</f>
        <v/>
      </c>
      <c r="L46" s="166" t="str">
        <f t="shared" si="2"/>
        <v/>
      </c>
      <c r="M46" s="166" t="str">
        <f>IF(C46="","",IF(OR(ISBLANK(Wagenliste!I35),Wagenliste!I35=0),"0",Wagenliste!I35))</f>
        <v/>
      </c>
      <c r="N46" s="166" t="str">
        <f>IF(ISBLANK(Wagenliste!J35),"",Wagenliste!J35)</f>
        <v/>
      </c>
      <c r="O46" s="203" t="str">
        <f>IF(C46="","",IF(Wagenliste!L35="","",Wagenliste!L35))</f>
        <v/>
      </c>
      <c r="P46" s="203" t="str">
        <f>IF(C46="","",IF(Wagenliste!M35="","",Wagenliste!M35))</f>
        <v/>
      </c>
      <c r="Q46" s="204" t="str">
        <f>IF(C46="","",Wagenliste!K35)</f>
        <v/>
      </c>
      <c r="R46" s="170" t="str">
        <f>IF(ISBLANK(Wagenliste!O35),"",Wagenliste!O35)</f>
        <v/>
      </c>
      <c r="S46" s="167" t="str">
        <f>IF(C46="","",Wagenliste!$P$2)</f>
        <v/>
      </c>
      <c r="T46" s="167" t="str">
        <f>IF(C46="","",Wagenliste!$U$2)</f>
        <v/>
      </c>
      <c r="U46" s="168" t="str">
        <f t="shared" si="5"/>
        <v/>
      </c>
      <c r="V46" s="200" t="str">
        <f>IF(C46="","",(CONCATENATE(Wagenliste!$Q$6," ",Wagenliste!Q35,"  ",Wagenliste!$R$6," ",Wagenliste!R35,"  ",Wagenliste!W35)))</f>
        <v/>
      </c>
    </row>
    <row r="47" spans="1:22" ht="15" customHeight="1" thickBot="1" x14ac:dyDescent="0.2">
      <c r="A47" s="169">
        <f t="shared" si="4"/>
        <v>30</v>
      </c>
      <c r="B47" s="169">
        <v>1</v>
      </c>
      <c r="C47" s="409" t="str">
        <f>IF(ISBLANK(Wagenliste!B36),"",Wagenliste!B36)</f>
        <v/>
      </c>
      <c r="D47" s="410"/>
      <c r="E47" s="410"/>
      <c r="F47" s="410"/>
      <c r="G47" s="411"/>
      <c r="H47" s="164" t="str">
        <f t="shared" si="6"/>
        <v/>
      </c>
      <c r="I47" s="202">
        <f>IF(OR(M47="0",M47=""),Wagenliste!G36,"-")</f>
        <v>0</v>
      </c>
      <c r="J47" s="202">
        <f>IF(M47="0","-",IF(M47&gt;0,Wagenliste!G36,"-"))</f>
        <v>0</v>
      </c>
      <c r="K47" s="165" t="str">
        <f>IF(ISBLANK(Wagenliste!H36),"",Wagenliste!H36)</f>
        <v/>
      </c>
      <c r="L47" s="166" t="str">
        <f t="shared" si="2"/>
        <v/>
      </c>
      <c r="M47" s="166" t="str">
        <f>IF(C47="","",IF(OR(ISBLANK(Wagenliste!I36),Wagenliste!I36=0),"0",Wagenliste!I36))</f>
        <v/>
      </c>
      <c r="N47" s="166" t="str">
        <f>IF(ISBLANK(Wagenliste!J36),"",Wagenliste!J36)</f>
        <v/>
      </c>
      <c r="O47" s="203" t="str">
        <f>IF(C47="","",IF(Wagenliste!L36="","",Wagenliste!L36))</f>
        <v/>
      </c>
      <c r="P47" s="203" t="str">
        <f>IF(C47="","",IF(Wagenliste!M36="","",Wagenliste!M36))</f>
        <v/>
      </c>
      <c r="Q47" s="204" t="str">
        <f>IF(C47="","",Wagenliste!K36)</f>
        <v/>
      </c>
      <c r="R47" s="170" t="str">
        <f>IF(ISBLANK(Wagenliste!O36),"",Wagenliste!O36)</f>
        <v/>
      </c>
      <c r="S47" s="167" t="str">
        <f>IF(C47="","",Wagenliste!$P$2)</f>
        <v/>
      </c>
      <c r="T47" s="167" t="str">
        <f>IF(C47="","",Wagenliste!$U$2)</f>
        <v/>
      </c>
      <c r="U47" s="213" t="str">
        <f t="shared" si="5"/>
        <v/>
      </c>
      <c r="V47" s="200" t="str">
        <f>IF(C47="","",(CONCATENATE(Wagenliste!$Q$6," ",Wagenliste!Q36,"  ",Wagenliste!$R$6," ",Wagenliste!R36,"  ",Wagenliste!W36)))</f>
        <v/>
      </c>
    </row>
    <row r="48" spans="1:22" ht="35.25" x14ac:dyDescent="0.15">
      <c r="A48" s="412"/>
      <c r="B48" s="413"/>
      <c r="C48" s="413"/>
      <c r="D48" s="413"/>
      <c r="E48" s="413"/>
      <c r="F48" s="413"/>
      <c r="G48" s="413"/>
      <c r="H48" s="414"/>
      <c r="I48" s="171">
        <f>SUM(I18:I47)</f>
        <v>76</v>
      </c>
      <c r="J48" s="171">
        <f>SUM(J18:J47)</f>
        <v>4</v>
      </c>
      <c r="K48" s="171">
        <f>SUM(K18:K47)</f>
        <v>330.22999999999996</v>
      </c>
      <c r="L48" s="172" t="e">
        <f>ROUNDUP(SUM(L18:L47),0)</f>
        <v>#VALUE!</v>
      </c>
      <c r="M48" s="172">
        <f>ROUNDUP(SUM(M18:M47),0)</f>
        <v>67</v>
      </c>
      <c r="N48" s="173">
        <f>ROUNDUP(SUM(N18:N47),0)</f>
        <v>90</v>
      </c>
      <c r="O48" s="171">
        <f>SUM(O18:O47)</f>
        <v>884</v>
      </c>
      <c r="P48" s="171">
        <f>SUM(P18:P47)</f>
        <v>298</v>
      </c>
      <c r="Q48" s="174">
        <f>COUNTIF(Q18:Q47,"K")+COUNTIF(Q18:Q47,"L")+COUNTIF(Q18:Q47,"LL")</f>
        <v>20</v>
      </c>
      <c r="R48" s="175"/>
      <c r="S48" s="176"/>
      <c r="T48" s="176"/>
      <c r="U48" s="177"/>
      <c r="V48" s="178" t="s">
        <v>302</v>
      </c>
    </row>
    <row r="49" spans="1:22" ht="18" x14ac:dyDescent="0.2">
      <c r="A49" s="179" t="s">
        <v>303</v>
      </c>
      <c r="B49" s="180"/>
      <c r="C49" s="181"/>
      <c r="D49" s="181"/>
      <c r="E49" s="182">
        <f>COUNT(C18:G47)</f>
        <v>20</v>
      </c>
      <c r="F49" s="183"/>
      <c r="G49" s="183"/>
      <c r="H49" s="183" t="s">
        <v>304</v>
      </c>
      <c r="I49" s="415">
        <f>I48+J48</f>
        <v>80</v>
      </c>
      <c r="J49" s="416"/>
      <c r="K49" s="181"/>
      <c r="L49" s="181"/>
      <c r="M49" s="181"/>
      <c r="N49" s="181"/>
      <c r="O49" s="184">
        <v>0</v>
      </c>
      <c r="P49" s="184">
        <v>-0.25</v>
      </c>
      <c r="Q49" s="185"/>
      <c r="R49" s="185"/>
      <c r="S49" s="181"/>
      <c r="T49" s="186"/>
      <c r="U49" s="185"/>
      <c r="V49" s="187"/>
    </row>
    <row r="50" spans="1:22" x14ac:dyDescent="0.15">
      <c r="A50" s="188"/>
      <c r="B50" s="189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90"/>
      <c r="O50" s="191">
        <f>ROUNDDOWN(IF(O48&lt;&gt;0,O48*(100%+O49),O48),0)</f>
        <v>884</v>
      </c>
      <c r="P50" s="191">
        <f>ROUNDDOWN(IF(P48&lt;&gt;0,P48*(100%+P49),P48),0)</f>
        <v>223</v>
      </c>
      <c r="Q50" s="192"/>
      <c r="R50" s="193"/>
      <c r="S50" s="193"/>
      <c r="T50" s="193"/>
      <c r="U50" s="193"/>
      <c r="V50" s="190"/>
    </row>
    <row r="51" spans="1:22" x14ac:dyDescent="0.15">
      <c r="A51" s="194"/>
      <c r="B51" s="195"/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417">
        <f>O50+P50</f>
        <v>1107</v>
      </c>
      <c r="P51" s="418"/>
      <c r="Q51" s="197"/>
      <c r="R51" s="197"/>
      <c r="S51" s="196"/>
      <c r="T51" s="196"/>
      <c r="U51" s="197"/>
      <c r="V51" s="198"/>
    </row>
    <row r="52" spans="1:22" x14ac:dyDescent="0.15">
      <c r="A52" s="419"/>
      <c r="B52" s="419"/>
      <c r="C52" s="419"/>
      <c r="D52" s="419"/>
      <c r="E52" s="419"/>
      <c r="F52" s="419"/>
      <c r="G52" s="419"/>
      <c r="H52" s="419"/>
      <c r="I52" s="419"/>
      <c r="J52" s="419"/>
      <c r="K52" s="419"/>
      <c r="L52" s="419"/>
      <c r="M52" s="419"/>
      <c r="N52" s="419"/>
      <c r="O52" s="420"/>
      <c r="P52" s="420"/>
      <c r="Q52" s="420"/>
      <c r="R52" s="420"/>
      <c r="S52" s="420"/>
      <c r="T52" s="420"/>
      <c r="U52" s="420"/>
      <c r="V52" s="420"/>
    </row>
  </sheetData>
  <sheetProtection sheet="1" objects="1" scenarios="1" selectLockedCells="1" selectUnlockedCells="1"/>
  <protectedRanges>
    <protectedRange sqref="B4 D3" name="B04 A  Sendungsnummer_2"/>
    <protectedRange sqref="H6:I6" name="B04 B  Sendungsnummer_2"/>
    <protectedRange sqref="A2" name="B04 M  Sendungsnummer_2"/>
  </protectedRanges>
  <mergeCells count="71">
    <mergeCell ref="V7:V10"/>
    <mergeCell ref="A8:L10"/>
    <mergeCell ref="M8:U8"/>
    <mergeCell ref="M10:U10"/>
    <mergeCell ref="A12:E12"/>
    <mergeCell ref="F12:I12"/>
    <mergeCell ref="J12:M12"/>
    <mergeCell ref="N12:R12"/>
    <mergeCell ref="A11:E11"/>
    <mergeCell ref="F11:I11"/>
    <mergeCell ref="J11:M11"/>
    <mergeCell ref="N11:R11"/>
    <mergeCell ref="A7:U7"/>
    <mergeCell ref="A13:E13"/>
    <mergeCell ref="F13:I13"/>
    <mergeCell ref="J13:M13"/>
    <mergeCell ref="N13:R13"/>
    <mergeCell ref="A14:V14"/>
    <mergeCell ref="A15:A17"/>
    <mergeCell ref="B15:B17"/>
    <mergeCell ref="C15:G16"/>
    <mergeCell ref="H15:H17"/>
    <mergeCell ref="I15:J16"/>
    <mergeCell ref="C26:G26"/>
    <mergeCell ref="C20:G20"/>
    <mergeCell ref="C21:G21"/>
    <mergeCell ref="C22:G22"/>
    <mergeCell ref="C23:G23"/>
    <mergeCell ref="C24:G24"/>
    <mergeCell ref="C25:G25"/>
    <mergeCell ref="V15:V17"/>
    <mergeCell ref="O16:O17"/>
    <mergeCell ref="P16:P17"/>
    <mergeCell ref="C18:G18"/>
    <mergeCell ref="C19:G19"/>
    <mergeCell ref="O15:P15"/>
    <mergeCell ref="Q15:Q17"/>
    <mergeCell ref="R15:R17"/>
    <mergeCell ref="S15:S17"/>
    <mergeCell ref="T15:T17"/>
    <mergeCell ref="U15:U17"/>
    <mergeCell ref="K15:K16"/>
    <mergeCell ref="L15:L16"/>
    <mergeCell ref="M15:M16"/>
    <mergeCell ref="N15:N16"/>
    <mergeCell ref="C38:G38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45:G45"/>
    <mergeCell ref="C46:G46"/>
    <mergeCell ref="C39:G39"/>
    <mergeCell ref="C40:G40"/>
    <mergeCell ref="C41:G41"/>
    <mergeCell ref="C42:G42"/>
    <mergeCell ref="C43:G43"/>
    <mergeCell ref="C44:G44"/>
    <mergeCell ref="C47:G47"/>
    <mergeCell ref="A48:H48"/>
    <mergeCell ref="I49:J49"/>
    <mergeCell ref="O51:P51"/>
    <mergeCell ref="A52:N52"/>
    <mergeCell ref="O52:V52"/>
  </mergeCells>
  <conditionalFormatting sqref="K18:K47">
    <cfRule type="expression" dxfId="0" priority="3">
      <formula>IF(ISNUMBER(K18),OR(K18&gt;20,K18&lt;15),)</formula>
    </cfRule>
  </conditionalFormatting>
  <pageMargins left="0.25" right="0.25" top="0.75" bottom="0.75" header="0.3" footer="0.3"/>
  <pageSetup paperSize="9" scale="60" orientation="landscape" r:id="rId1"/>
  <headerFooter alignWithMargins="0"/>
  <ignoredErrors>
    <ignoredError sqref="N34 N35:N47 N18:N33 K34 K35 K36:K37 K18:K33 K44:K47 K43 K39:K40 M18:M47 U18:U47 C18:H47 K38 K42 K41 L18 I18:J47 Q18:Q47 O18:P47 R18:R47 L19:L47 V18:V47" unlockedFormula="1"/>
    <ignoredError sqref="G17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>
    <pageSetUpPr fitToPage="1"/>
  </sheetPr>
  <dimension ref="A1:AG44"/>
  <sheetViews>
    <sheetView zoomScale="85" zoomScaleNormal="85" workbookViewId="0">
      <selection activeCell="U17" sqref="U17:V17"/>
    </sheetView>
  </sheetViews>
  <sheetFormatPr defaultColWidth="10.78515625" defaultRowHeight="12.75" x14ac:dyDescent="0.15"/>
  <cols>
    <col min="1" max="2" width="4.44921875" style="11" customWidth="1"/>
    <col min="3" max="3" width="11.4609375" style="11" hidden="1" customWidth="1"/>
    <col min="4" max="4" width="4.44921875" style="11" customWidth="1"/>
    <col min="5" max="5" width="0.1328125" style="11" hidden="1" customWidth="1"/>
    <col min="6" max="6" width="3.50390625" style="11" customWidth="1"/>
    <col min="7" max="7" width="6.3359375" style="11" customWidth="1"/>
    <col min="8" max="9" width="2.96484375" style="11" customWidth="1"/>
    <col min="10" max="10" width="4.58203125" style="11" customWidth="1"/>
    <col min="11" max="11" width="1.88671875" style="11" customWidth="1"/>
    <col min="12" max="12" width="4.98828125" style="11" customWidth="1"/>
    <col min="13" max="13" width="4.8515625" style="11" customWidth="1"/>
    <col min="14" max="16" width="3.234375" style="11" customWidth="1"/>
    <col min="17" max="18" width="4.04296875" style="11" customWidth="1"/>
    <col min="19" max="21" width="3.91015625" style="11" customWidth="1"/>
    <col min="22" max="23" width="10.65234375" style="11" customWidth="1"/>
    <col min="24" max="25" width="3.234375" style="11" customWidth="1"/>
    <col min="26" max="26" width="8.76171875" style="11" customWidth="1"/>
    <col min="27" max="256" width="9.16796875" style="11" customWidth="1"/>
    <col min="257" max="258" width="4.44921875" style="11" customWidth="1"/>
    <col min="259" max="259" width="0" style="11" hidden="1" customWidth="1"/>
    <col min="260" max="260" width="4.44921875" style="11" customWidth="1"/>
    <col min="261" max="261" width="0" style="11" hidden="1" customWidth="1"/>
    <col min="262" max="262" width="3.50390625" style="11" customWidth="1"/>
    <col min="263" max="263" width="6.3359375" style="11" customWidth="1"/>
    <col min="264" max="265" width="2.96484375" style="11" customWidth="1"/>
    <col min="266" max="266" width="4.58203125" style="11" customWidth="1"/>
    <col min="267" max="267" width="1.88671875" style="11" customWidth="1"/>
    <col min="268" max="268" width="4.98828125" style="11" customWidth="1"/>
    <col min="269" max="269" width="4.8515625" style="11" customWidth="1"/>
    <col min="270" max="272" width="3.234375" style="11" customWidth="1"/>
    <col min="273" max="274" width="4.04296875" style="11" customWidth="1"/>
    <col min="275" max="277" width="3.91015625" style="11" customWidth="1"/>
    <col min="278" max="279" width="10.65234375" style="11" customWidth="1"/>
    <col min="280" max="281" width="3.234375" style="11" customWidth="1"/>
    <col min="282" max="282" width="8.76171875" style="11" customWidth="1"/>
    <col min="283" max="512" width="9.16796875" style="11" customWidth="1"/>
    <col min="513" max="514" width="4.44921875" style="11" customWidth="1"/>
    <col min="515" max="515" width="0" style="11" hidden="1" customWidth="1"/>
    <col min="516" max="516" width="4.44921875" style="11" customWidth="1"/>
    <col min="517" max="517" width="0" style="11" hidden="1" customWidth="1"/>
    <col min="518" max="518" width="3.50390625" style="11" customWidth="1"/>
    <col min="519" max="519" width="6.3359375" style="11" customWidth="1"/>
    <col min="520" max="521" width="2.96484375" style="11" customWidth="1"/>
    <col min="522" max="522" width="4.58203125" style="11" customWidth="1"/>
    <col min="523" max="523" width="1.88671875" style="11" customWidth="1"/>
    <col min="524" max="524" width="4.98828125" style="11" customWidth="1"/>
    <col min="525" max="525" width="4.8515625" style="11" customWidth="1"/>
    <col min="526" max="528" width="3.234375" style="11" customWidth="1"/>
    <col min="529" max="530" width="4.04296875" style="11" customWidth="1"/>
    <col min="531" max="533" width="3.91015625" style="11" customWidth="1"/>
    <col min="534" max="535" width="10.65234375" style="11" customWidth="1"/>
    <col min="536" max="537" width="3.234375" style="11" customWidth="1"/>
    <col min="538" max="538" width="8.76171875" style="11" customWidth="1"/>
    <col min="539" max="768" width="9.16796875" style="11" customWidth="1"/>
    <col min="769" max="770" width="4.44921875" style="11" customWidth="1"/>
    <col min="771" max="771" width="0" style="11" hidden="1" customWidth="1"/>
    <col min="772" max="772" width="4.44921875" style="11" customWidth="1"/>
    <col min="773" max="773" width="0" style="11" hidden="1" customWidth="1"/>
    <col min="774" max="774" width="3.50390625" style="11" customWidth="1"/>
    <col min="775" max="775" width="6.3359375" style="11" customWidth="1"/>
    <col min="776" max="777" width="2.96484375" style="11" customWidth="1"/>
    <col min="778" max="778" width="4.58203125" style="11" customWidth="1"/>
    <col min="779" max="779" width="1.88671875" style="11" customWidth="1"/>
    <col min="780" max="780" width="4.98828125" style="11" customWidth="1"/>
    <col min="781" max="781" width="4.8515625" style="11" customWidth="1"/>
    <col min="782" max="784" width="3.234375" style="11" customWidth="1"/>
    <col min="785" max="786" width="4.04296875" style="11" customWidth="1"/>
    <col min="787" max="789" width="3.91015625" style="11" customWidth="1"/>
    <col min="790" max="791" width="10.65234375" style="11" customWidth="1"/>
    <col min="792" max="793" width="3.234375" style="11" customWidth="1"/>
    <col min="794" max="794" width="8.76171875" style="11" customWidth="1"/>
    <col min="795" max="1024" width="9.16796875" style="11" customWidth="1"/>
    <col min="1025" max="1026" width="4.44921875" style="11" customWidth="1"/>
    <col min="1027" max="1027" width="0" style="11" hidden="1" customWidth="1"/>
    <col min="1028" max="1028" width="4.44921875" style="11" customWidth="1"/>
    <col min="1029" max="1029" width="0" style="11" hidden="1" customWidth="1"/>
    <col min="1030" max="1030" width="3.50390625" style="11" customWidth="1"/>
    <col min="1031" max="1031" width="6.3359375" style="11" customWidth="1"/>
    <col min="1032" max="1033" width="2.96484375" style="11" customWidth="1"/>
    <col min="1034" max="1034" width="4.58203125" style="11" customWidth="1"/>
    <col min="1035" max="1035" width="1.88671875" style="11" customWidth="1"/>
    <col min="1036" max="1036" width="4.98828125" style="11" customWidth="1"/>
    <col min="1037" max="1037" width="4.8515625" style="11" customWidth="1"/>
    <col min="1038" max="1040" width="3.234375" style="11" customWidth="1"/>
    <col min="1041" max="1042" width="4.04296875" style="11" customWidth="1"/>
    <col min="1043" max="1045" width="3.91015625" style="11" customWidth="1"/>
    <col min="1046" max="1047" width="10.65234375" style="11" customWidth="1"/>
    <col min="1048" max="1049" width="3.234375" style="11" customWidth="1"/>
    <col min="1050" max="1050" width="8.76171875" style="11" customWidth="1"/>
    <col min="1051" max="1280" width="9.16796875" style="11" customWidth="1"/>
    <col min="1281" max="1282" width="4.44921875" style="11" customWidth="1"/>
    <col min="1283" max="1283" width="0" style="11" hidden="1" customWidth="1"/>
    <col min="1284" max="1284" width="4.44921875" style="11" customWidth="1"/>
    <col min="1285" max="1285" width="0" style="11" hidden="1" customWidth="1"/>
    <col min="1286" max="1286" width="3.50390625" style="11" customWidth="1"/>
    <col min="1287" max="1287" width="6.3359375" style="11" customWidth="1"/>
    <col min="1288" max="1289" width="2.96484375" style="11" customWidth="1"/>
    <col min="1290" max="1290" width="4.58203125" style="11" customWidth="1"/>
    <col min="1291" max="1291" width="1.88671875" style="11" customWidth="1"/>
    <col min="1292" max="1292" width="4.98828125" style="11" customWidth="1"/>
    <col min="1293" max="1293" width="4.8515625" style="11" customWidth="1"/>
    <col min="1294" max="1296" width="3.234375" style="11" customWidth="1"/>
    <col min="1297" max="1298" width="4.04296875" style="11" customWidth="1"/>
    <col min="1299" max="1301" width="3.91015625" style="11" customWidth="1"/>
    <col min="1302" max="1303" width="10.65234375" style="11" customWidth="1"/>
    <col min="1304" max="1305" width="3.234375" style="11" customWidth="1"/>
    <col min="1306" max="1306" width="8.76171875" style="11" customWidth="1"/>
    <col min="1307" max="1536" width="9.16796875" style="11" customWidth="1"/>
    <col min="1537" max="1538" width="4.44921875" style="11" customWidth="1"/>
    <col min="1539" max="1539" width="0" style="11" hidden="1" customWidth="1"/>
    <col min="1540" max="1540" width="4.44921875" style="11" customWidth="1"/>
    <col min="1541" max="1541" width="0" style="11" hidden="1" customWidth="1"/>
    <col min="1542" max="1542" width="3.50390625" style="11" customWidth="1"/>
    <col min="1543" max="1543" width="6.3359375" style="11" customWidth="1"/>
    <col min="1544" max="1545" width="2.96484375" style="11" customWidth="1"/>
    <col min="1546" max="1546" width="4.58203125" style="11" customWidth="1"/>
    <col min="1547" max="1547" width="1.88671875" style="11" customWidth="1"/>
    <col min="1548" max="1548" width="4.98828125" style="11" customWidth="1"/>
    <col min="1549" max="1549" width="4.8515625" style="11" customWidth="1"/>
    <col min="1550" max="1552" width="3.234375" style="11" customWidth="1"/>
    <col min="1553" max="1554" width="4.04296875" style="11" customWidth="1"/>
    <col min="1555" max="1557" width="3.91015625" style="11" customWidth="1"/>
    <col min="1558" max="1559" width="10.65234375" style="11" customWidth="1"/>
    <col min="1560" max="1561" width="3.234375" style="11" customWidth="1"/>
    <col min="1562" max="1562" width="8.76171875" style="11" customWidth="1"/>
    <col min="1563" max="1792" width="9.16796875" style="11" customWidth="1"/>
    <col min="1793" max="1794" width="4.44921875" style="11" customWidth="1"/>
    <col min="1795" max="1795" width="0" style="11" hidden="1" customWidth="1"/>
    <col min="1796" max="1796" width="4.44921875" style="11" customWidth="1"/>
    <col min="1797" max="1797" width="0" style="11" hidden="1" customWidth="1"/>
    <col min="1798" max="1798" width="3.50390625" style="11" customWidth="1"/>
    <col min="1799" max="1799" width="6.3359375" style="11" customWidth="1"/>
    <col min="1800" max="1801" width="2.96484375" style="11" customWidth="1"/>
    <col min="1802" max="1802" width="4.58203125" style="11" customWidth="1"/>
    <col min="1803" max="1803" width="1.88671875" style="11" customWidth="1"/>
    <col min="1804" max="1804" width="4.98828125" style="11" customWidth="1"/>
    <col min="1805" max="1805" width="4.8515625" style="11" customWidth="1"/>
    <col min="1806" max="1808" width="3.234375" style="11" customWidth="1"/>
    <col min="1809" max="1810" width="4.04296875" style="11" customWidth="1"/>
    <col min="1811" max="1813" width="3.91015625" style="11" customWidth="1"/>
    <col min="1814" max="1815" width="10.65234375" style="11" customWidth="1"/>
    <col min="1816" max="1817" width="3.234375" style="11" customWidth="1"/>
    <col min="1818" max="1818" width="8.76171875" style="11" customWidth="1"/>
    <col min="1819" max="2048" width="9.16796875" style="11" customWidth="1"/>
    <col min="2049" max="2050" width="4.44921875" style="11" customWidth="1"/>
    <col min="2051" max="2051" width="0" style="11" hidden="1" customWidth="1"/>
    <col min="2052" max="2052" width="4.44921875" style="11" customWidth="1"/>
    <col min="2053" max="2053" width="0" style="11" hidden="1" customWidth="1"/>
    <col min="2054" max="2054" width="3.50390625" style="11" customWidth="1"/>
    <col min="2055" max="2055" width="6.3359375" style="11" customWidth="1"/>
    <col min="2056" max="2057" width="2.96484375" style="11" customWidth="1"/>
    <col min="2058" max="2058" width="4.58203125" style="11" customWidth="1"/>
    <col min="2059" max="2059" width="1.88671875" style="11" customWidth="1"/>
    <col min="2060" max="2060" width="4.98828125" style="11" customWidth="1"/>
    <col min="2061" max="2061" width="4.8515625" style="11" customWidth="1"/>
    <col min="2062" max="2064" width="3.234375" style="11" customWidth="1"/>
    <col min="2065" max="2066" width="4.04296875" style="11" customWidth="1"/>
    <col min="2067" max="2069" width="3.91015625" style="11" customWidth="1"/>
    <col min="2070" max="2071" width="10.65234375" style="11" customWidth="1"/>
    <col min="2072" max="2073" width="3.234375" style="11" customWidth="1"/>
    <col min="2074" max="2074" width="8.76171875" style="11" customWidth="1"/>
    <col min="2075" max="2304" width="9.16796875" style="11" customWidth="1"/>
    <col min="2305" max="2306" width="4.44921875" style="11" customWidth="1"/>
    <col min="2307" max="2307" width="0" style="11" hidden="1" customWidth="1"/>
    <col min="2308" max="2308" width="4.44921875" style="11" customWidth="1"/>
    <col min="2309" max="2309" width="0" style="11" hidden="1" customWidth="1"/>
    <col min="2310" max="2310" width="3.50390625" style="11" customWidth="1"/>
    <col min="2311" max="2311" width="6.3359375" style="11" customWidth="1"/>
    <col min="2312" max="2313" width="2.96484375" style="11" customWidth="1"/>
    <col min="2314" max="2314" width="4.58203125" style="11" customWidth="1"/>
    <col min="2315" max="2315" width="1.88671875" style="11" customWidth="1"/>
    <col min="2316" max="2316" width="4.98828125" style="11" customWidth="1"/>
    <col min="2317" max="2317" width="4.8515625" style="11" customWidth="1"/>
    <col min="2318" max="2320" width="3.234375" style="11" customWidth="1"/>
    <col min="2321" max="2322" width="4.04296875" style="11" customWidth="1"/>
    <col min="2323" max="2325" width="3.91015625" style="11" customWidth="1"/>
    <col min="2326" max="2327" width="10.65234375" style="11" customWidth="1"/>
    <col min="2328" max="2329" width="3.234375" style="11" customWidth="1"/>
    <col min="2330" max="2330" width="8.76171875" style="11" customWidth="1"/>
    <col min="2331" max="2560" width="9.16796875" style="11" customWidth="1"/>
    <col min="2561" max="2562" width="4.44921875" style="11" customWidth="1"/>
    <col min="2563" max="2563" width="0" style="11" hidden="1" customWidth="1"/>
    <col min="2564" max="2564" width="4.44921875" style="11" customWidth="1"/>
    <col min="2565" max="2565" width="0" style="11" hidden="1" customWidth="1"/>
    <col min="2566" max="2566" width="3.50390625" style="11" customWidth="1"/>
    <col min="2567" max="2567" width="6.3359375" style="11" customWidth="1"/>
    <col min="2568" max="2569" width="2.96484375" style="11" customWidth="1"/>
    <col min="2570" max="2570" width="4.58203125" style="11" customWidth="1"/>
    <col min="2571" max="2571" width="1.88671875" style="11" customWidth="1"/>
    <col min="2572" max="2572" width="4.98828125" style="11" customWidth="1"/>
    <col min="2573" max="2573" width="4.8515625" style="11" customWidth="1"/>
    <col min="2574" max="2576" width="3.234375" style="11" customWidth="1"/>
    <col min="2577" max="2578" width="4.04296875" style="11" customWidth="1"/>
    <col min="2579" max="2581" width="3.91015625" style="11" customWidth="1"/>
    <col min="2582" max="2583" width="10.65234375" style="11" customWidth="1"/>
    <col min="2584" max="2585" width="3.234375" style="11" customWidth="1"/>
    <col min="2586" max="2586" width="8.76171875" style="11" customWidth="1"/>
    <col min="2587" max="2816" width="9.16796875" style="11" customWidth="1"/>
    <col min="2817" max="2818" width="4.44921875" style="11" customWidth="1"/>
    <col min="2819" max="2819" width="0" style="11" hidden="1" customWidth="1"/>
    <col min="2820" max="2820" width="4.44921875" style="11" customWidth="1"/>
    <col min="2821" max="2821" width="0" style="11" hidden="1" customWidth="1"/>
    <col min="2822" max="2822" width="3.50390625" style="11" customWidth="1"/>
    <col min="2823" max="2823" width="6.3359375" style="11" customWidth="1"/>
    <col min="2824" max="2825" width="2.96484375" style="11" customWidth="1"/>
    <col min="2826" max="2826" width="4.58203125" style="11" customWidth="1"/>
    <col min="2827" max="2827" width="1.88671875" style="11" customWidth="1"/>
    <col min="2828" max="2828" width="4.98828125" style="11" customWidth="1"/>
    <col min="2829" max="2829" width="4.8515625" style="11" customWidth="1"/>
    <col min="2830" max="2832" width="3.234375" style="11" customWidth="1"/>
    <col min="2833" max="2834" width="4.04296875" style="11" customWidth="1"/>
    <col min="2835" max="2837" width="3.91015625" style="11" customWidth="1"/>
    <col min="2838" max="2839" width="10.65234375" style="11" customWidth="1"/>
    <col min="2840" max="2841" width="3.234375" style="11" customWidth="1"/>
    <col min="2842" max="2842" width="8.76171875" style="11" customWidth="1"/>
    <col min="2843" max="3072" width="9.16796875" style="11" customWidth="1"/>
    <col min="3073" max="3074" width="4.44921875" style="11" customWidth="1"/>
    <col min="3075" max="3075" width="0" style="11" hidden="1" customWidth="1"/>
    <col min="3076" max="3076" width="4.44921875" style="11" customWidth="1"/>
    <col min="3077" max="3077" width="0" style="11" hidden="1" customWidth="1"/>
    <col min="3078" max="3078" width="3.50390625" style="11" customWidth="1"/>
    <col min="3079" max="3079" width="6.3359375" style="11" customWidth="1"/>
    <col min="3080" max="3081" width="2.96484375" style="11" customWidth="1"/>
    <col min="3082" max="3082" width="4.58203125" style="11" customWidth="1"/>
    <col min="3083" max="3083" width="1.88671875" style="11" customWidth="1"/>
    <col min="3084" max="3084" width="4.98828125" style="11" customWidth="1"/>
    <col min="3085" max="3085" width="4.8515625" style="11" customWidth="1"/>
    <col min="3086" max="3088" width="3.234375" style="11" customWidth="1"/>
    <col min="3089" max="3090" width="4.04296875" style="11" customWidth="1"/>
    <col min="3091" max="3093" width="3.91015625" style="11" customWidth="1"/>
    <col min="3094" max="3095" width="10.65234375" style="11" customWidth="1"/>
    <col min="3096" max="3097" width="3.234375" style="11" customWidth="1"/>
    <col min="3098" max="3098" width="8.76171875" style="11" customWidth="1"/>
    <col min="3099" max="3328" width="9.16796875" style="11" customWidth="1"/>
    <col min="3329" max="3330" width="4.44921875" style="11" customWidth="1"/>
    <col min="3331" max="3331" width="0" style="11" hidden="1" customWidth="1"/>
    <col min="3332" max="3332" width="4.44921875" style="11" customWidth="1"/>
    <col min="3333" max="3333" width="0" style="11" hidden="1" customWidth="1"/>
    <col min="3334" max="3334" width="3.50390625" style="11" customWidth="1"/>
    <col min="3335" max="3335" width="6.3359375" style="11" customWidth="1"/>
    <col min="3336" max="3337" width="2.96484375" style="11" customWidth="1"/>
    <col min="3338" max="3338" width="4.58203125" style="11" customWidth="1"/>
    <col min="3339" max="3339" width="1.88671875" style="11" customWidth="1"/>
    <col min="3340" max="3340" width="4.98828125" style="11" customWidth="1"/>
    <col min="3341" max="3341" width="4.8515625" style="11" customWidth="1"/>
    <col min="3342" max="3344" width="3.234375" style="11" customWidth="1"/>
    <col min="3345" max="3346" width="4.04296875" style="11" customWidth="1"/>
    <col min="3347" max="3349" width="3.91015625" style="11" customWidth="1"/>
    <col min="3350" max="3351" width="10.65234375" style="11" customWidth="1"/>
    <col min="3352" max="3353" width="3.234375" style="11" customWidth="1"/>
    <col min="3354" max="3354" width="8.76171875" style="11" customWidth="1"/>
    <col min="3355" max="3584" width="9.16796875" style="11" customWidth="1"/>
    <col min="3585" max="3586" width="4.44921875" style="11" customWidth="1"/>
    <col min="3587" max="3587" width="0" style="11" hidden="1" customWidth="1"/>
    <col min="3588" max="3588" width="4.44921875" style="11" customWidth="1"/>
    <col min="3589" max="3589" width="0" style="11" hidden="1" customWidth="1"/>
    <col min="3590" max="3590" width="3.50390625" style="11" customWidth="1"/>
    <col min="3591" max="3591" width="6.3359375" style="11" customWidth="1"/>
    <col min="3592" max="3593" width="2.96484375" style="11" customWidth="1"/>
    <col min="3594" max="3594" width="4.58203125" style="11" customWidth="1"/>
    <col min="3595" max="3595" width="1.88671875" style="11" customWidth="1"/>
    <col min="3596" max="3596" width="4.98828125" style="11" customWidth="1"/>
    <col min="3597" max="3597" width="4.8515625" style="11" customWidth="1"/>
    <col min="3598" max="3600" width="3.234375" style="11" customWidth="1"/>
    <col min="3601" max="3602" width="4.04296875" style="11" customWidth="1"/>
    <col min="3603" max="3605" width="3.91015625" style="11" customWidth="1"/>
    <col min="3606" max="3607" width="10.65234375" style="11" customWidth="1"/>
    <col min="3608" max="3609" width="3.234375" style="11" customWidth="1"/>
    <col min="3610" max="3610" width="8.76171875" style="11" customWidth="1"/>
    <col min="3611" max="3840" width="9.16796875" style="11" customWidth="1"/>
    <col min="3841" max="3842" width="4.44921875" style="11" customWidth="1"/>
    <col min="3843" max="3843" width="0" style="11" hidden="1" customWidth="1"/>
    <col min="3844" max="3844" width="4.44921875" style="11" customWidth="1"/>
    <col min="3845" max="3845" width="0" style="11" hidden="1" customWidth="1"/>
    <col min="3846" max="3846" width="3.50390625" style="11" customWidth="1"/>
    <col min="3847" max="3847" width="6.3359375" style="11" customWidth="1"/>
    <col min="3848" max="3849" width="2.96484375" style="11" customWidth="1"/>
    <col min="3850" max="3850" width="4.58203125" style="11" customWidth="1"/>
    <col min="3851" max="3851" width="1.88671875" style="11" customWidth="1"/>
    <col min="3852" max="3852" width="4.98828125" style="11" customWidth="1"/>
    <col min="3853" max="3853" width="4.8515625" style="11" customWidth="1"/>
    <col min="3854" max="3856" width="3.234375" style="11" customWidth="1"/>
    <col min="3857" max="3858" width="4.04296875" style="11" customWidth="1"/>
    <col min="3859" max="3861" width="3.91015625" style="11" customWidth="1"/>
    <col min="3862" max="3863" width="10.65234375" style="11" customWidth="1"/>
    <col min="3864" max="3865" width="3.234375" style="11" customWidth="1"/>
    <col min="3866" max="3866" width="8.76171875" style="11" customWidth="1"/>
    <col min="3867" max="4096" width="9.16796875" style="11" customWidth="1"/>
    <col min="4097" max="4098" width="4.44921875" style="11" customWidth="1"/>
    <col min="4099" max="4099" width="0" style="11" hidden="1" customWidth="1"/>
    <col min="4100" max="4100" width="4.44921875" style="11" customWidth="1"/>
    <col min="4101" max="4101" width="0" style="11" hidden="1" customWidth="1"/>
    <col min="4102" max="4102" width="3.50390625" style="11" customWidth="1"/>
    <col min="4103" max="4103" width="6.3359375" style="11" customWidth="1"/>
    <col min="4104" max="4105" width="2.96484375" style="11" customWidth="1"/>
    <col min="4106" max="4106" width="4.58203125" style="11" customWidth="1"/>
    <col min="4107" max="4107" width="1.88671875" style="11" customWidth="1"/>
    <col min="4108" max="4108" width="4.98828125" style="11" customWidth="1"/>
    <col min="4109" max="4109" width="4.8515625" style="11" customWidth="1"/>
    <col min="4110" max="4112" width="3.234375" style="11" customWidth="1"/>
    <col min="4113" max="4114" width="4.04296875" style="11" customWidth="1"/>
    <col min="4115" max="4117" width="3.91015625" style="11" customWidth="1"/>
    <col min="4118" max="4119" width="10.65234375" style="11" customWidth="1"/>
    <col min="4120" max="4121" width="3.234375" style="11" customWidth="1"/>
    <col min="4122" max="4122" width="8.76171875" style="11" customWidth="1"/>
    <col min="4123" max="4352" width="9.16796875" style="11" customWidth="1"/>
    <col min="4353" max="4354" width="4.44921875" style="11" customWidth="1"/>
    <col min="4355" max="4355" width="0" style="11" hidden="1" customWidth="1"/>
    <col min="4356" max="4356" width="4.44921875" style="11" customWidth="1"/>
    <col min="4357" max="4357" width="0" style="11" hidden="1" customWidth="1"/>
    <col min="4358" max="4358" width="3.50390625" style="11" customWidth="1"/>
    <col min="4359" max="4359" width="6.3359375" style="11" customWidth="1"/>
    <col min="4360" max="4361" width="2.96484375" style="11" customWidth="1"/>
    <col min="4362" max="4362" width="4.58203125" style="11" customWidth="1"/>
    <col min="4363" max="4363" width="1.88671875" style="11" customWidth="1"/>
    <col min="4364" max="4364" width="4.98828125" style="11" customWidth="1"/>
    <col min="4365" max="4365" width="4.8515625" style="11" customWidth="1"/>
    <col min="4366" max="4368" width="3.234375" style="11" customWidth="1"/>
    <col min="4369" max="4370" width="4.04296875" style="11" customWidth="1"/>
    <col min="4371" max="4373" width="3.91015625" style="11" customWidth="1"/>
    <col min="4374" max="4375" width="10.65234375" style="11" customWidth="1"/>
    <col min="4376" max="4377" width="3.234375" style="11" customWidth="1"/>
    <col min="4378" max="4378" width="8.76171875" style="11" customWidth="1"/>
    <col min="4379" max="4608" width="9.16796875" style="11" customWidth="1"/>
    <col min="4609" max="4610" width="4.44921875" style="11" customWidth="1"/>
    <col min="4611" max="4611" width="0" style="11" hidden="1" customWidth="1"/>
    <col min="4612" max="4612" width="4.44921875" style="11" customWidth="1"/>
    <col min="4613" max="4613" width="0" style="11" hidden="1" customWidth="1"/>
    <col min="4614" max="4614" width="3.50390625" style="11" customWidth="1"/>
    <col min="4615" max="4615" width="6.3359375" style="11" customWidth="1"/>
    <col min="4616" max="4617" width="2.96484375" style="11" customWidth="1"/>
    <col min="4618" max="4618" width="4.58203125" style="11" customWidth="1"/>
    <col min="4619" max="4619" width="1.88671875" style="11" customWidth="1"/>
    <col min="4620" max="4620" width="4.98828125" style="11" customWidth="1"/>
    <col min="4621" max="4621" width="4.8515625" style="11" customWidth="1"/>
    <col min="4622" max="4624" width="3.234375" style="11" customWidth="1"/>
    <col min="4625" max="4626" width="4.04296875" style="11" customWidth="1"/>
    <col min="4627" max="4629" width="3.91015625" style="11" customWidth="1"/>
    <col min="4630" max="4631" width="10.65234375" style="11" customWidth="1"/>
    <col min="4632" max="4633" width="3.234375" style="11" customWidth="1"/>
    <col min="4634" max="4634" width="8.76171875" style="11" customWidth="1"/>
    <col min="4635" max="4864" width="9.16796875" style="11" customWidth="1"/>
    <col min="4865" max="4866" width="4.44921875" style="11" customWidth="1"/>
    <col min="4867" max="4867" width="0" style="11" hidden="1" customWidth="1"/>
    <col min="4868" max="4868" width="4.44921875" style="11" customWidth="1"/>
    <col min="4869" max="4869" width="0" style="11" hidden="1" customWidth="1"/>
    <col min="4870" max="4870" width="3.50390625" style="11" customWidth="1"/>
    <col min="4871" max="4871" width="6.3359375" style="11" customWidth="1"/>
    <col min="4872" max="4873" width="2.96484375" style="11" customWidth="1"/>
    <col min="4874" max="4874" width="4.58203125" style="11" customWidth="1"/>
    <col min="4875" max="4875" width="1.88671875" style="11" customWidth="1"/>
    <col min="4876" max="4876" width="4.98828125" style="11" customWidth="1"/>
    <col min="4877" max="4877" width="4.8515625" style="11" customWidth="1"/>
    <col min="4878" max="4880" width="3.234375" style="11" customWidth="1"/>
    <col min="4881" max="4882" width="4.04296875" style="11" customWidth="1"/>
    <col min="4883" max="4885" width="3.91015625" style="11" customWidth="1"/>
    <col min="4886" max="4887" width="10.65234375" style="11" customWidth="1"/>
    <col min="4888" max="4889" width="3.234375" style="11" customWidth="1"/>
    <col min="4890" max="4890" width="8.76171875" style="11" customWidth="1"/>
    <col min="4891" max="5120" width="9.16796875" style="11" customWidth="1"/>
    <col min="5121" max="5122" width="4.44921875" style="11" customWidth="1"/>
    <col min="5123" max="5123" width="0" style="11" hidden="1" customWidth="1"/>
    <col min="5124" max="5124" width="4.44921875" style="11" customWidth="1"/>
    <col min="5125" max="5125" width="0" style="11" hidden="1" customWidth="1"/>
    <col min="5126" max="5126" width="3.50390625" style="11" customWidth="1"/>
    <col min="5127" max="5127" width="6.3359375" style="11" customWidth="1"/>
    <col min="5128" max="5129" width="2.96484375" style="11" customWidth="1"/>
    <col min="5130" max="5130" width="4.58203125" style="11" customWidth="1"/>
    <col min="5131" max="5131" width="1.88671875" style="11" customWidth="1"/>
    <col min="5132" max="5132" width="4.98828125" style="11" customWidth="1"/>
    <col min="5133" max="5133" width="4.8515625" style="11" customWidth="1"/>
    <col min="5134" max="5136" width="3.234375" style="11" customWidth="1"/>
    <col min="5137" max="5138" width="4.04296875" style="11" customWidth="1"/>
    <col min="5139" max="5141" width="3.91015625" style="11" customWidth="1"/>
    <col min="5142" max="5143" width="10.65234375" style="11" customWidth="1"/>
    <col min="5144" max="5145" width="3.234375" style="11" customWidth="1"/>
    <col min="5146" max="5146" width="8.76171875" style="11" customWidth="1"/>
    <col min="5147" max="5376" width="9.16796875" style="11" customWidth="1"/>
    <col min="5377" max="5378" width="4.44921875" style="11" customWidth="1"/>
    <col min="5379" max="5379" width="0" style="11" hidden="1" customWidth="1"/>
    <col min="5380" max="5380" width="4.44921875" style="11" customWidth="1"/>
    <col min="5381" max="5381" width="0" style="11" hidden="1" customWidth="1"/>
    <col min="5382" max="5382" width="3.50390625" style="11" customWidth="1"/>
    <col min="5383" max="5383" width="6.3359375" style="11" customWidth="1"/>
    <col min="5384" max="5385" width="2.96484375" style="11" customWidth="1"/>
    <col min="5386" max="5386" width="4.58203125" style="11" customWidth="1"/>
    <col min="5387" max="5387" width="1.88671875" style="11" customWidth="1"/>
    <col min="5388" max="5388" width="4.98828125" style="11" customWidth="1"/>
    <col min="5389" max="5389" width="4.8515625" style="11" customWidth="1"/>
    <col min="5390" max="5392" width="3.234375" style="11" customWidth="1"/>
    <col min="5393" max="5394" width="4.04296875" style="11" customWidth="1"/>
    <col min="5395" max="5397" width="3.91015625" style="11" customWidth="1"/>
    <col min="5398" max="5399" width="10.65234375" style="11" customWidth="1"/>
    <col min="5400" max="5401" width="3.234375" style="11" customWidth="1"/>
    <col min="5402" max="5402" width="8.76171875" style="11" customWidth="1"/>
    <col min="5403" max="5632" width="9.16796875" style="11" customWidth="1"/>
    <col min="5633" max="5634" width="4.44921875" style="11" customWidth="1"/>
    <col min="5635" max="5635" width="0" style="11" hidden="1" customWidth="1"/>
    <col min="5636" max="5636" width="4.44921875" style="11" customWidth="1"/>
    <col min="5637" max="5637" width="0" style="11" hidden="1" customWidth="1"/>
    <col min="5638" max="5638" width="3.50390625" style="11" customWidth="1"/>
    <col min="5639" max="5639" width="6.3359375" style="11" customWidth="1"/>
    <col min="5640" max="5641" width="2.96484375" style="11" customWidth="1"/>
    <col min="5642" max="5642" width="4.58203125" style="11" customWidth="1"/>
    <col min="5643" max="5643" width="1.88671875" style="11" customWidth="1"/>
    <col min="5644" max="5644" width="4.98828125" style="11" customWidth="1"/>
    <col min="5645" max="5645" width="4.8515625" style="11" customWidth="1"/>
    <col min="5646" max="5648" width="3.234375" style="11" customWidth="1"/>
    <col min="5649" max="5650" width="4.04296875" style="11" customWidth="1"/>
    <col min="5651" max="5653" width="3.91015625" style="11" customWidth="1"/>
    <col min="5654" max="5655" width="10.65234375" style="11" customWidth="1"/>
    <col min="5656" max="5657" width="3.234375" style="11" customWidth="1"/>
    <col min="5658" max="5658" width="8.76171875" style="11" customWidth="1"/>
    <col min="5659" max="5888" width="9.16796875" style="11" customWidth="1"/>
    <col min="5889" max="5890" width="4.44921875" style="11" customWidth="1"/>
    <col min="5891" max="5891" width="0" style="11" hidden="1" customWidth="1"/>
    <col min="5892" max="5892" width="4.44921875" style="11" customWidth="1"/>
    <col min="5893" max="5893" width="0" style="11" hidden="1" customWidth="1"/>
    <col min="5894" max="5894" width="3.50390625" style="11" customWidth="1"/>
    <col min="5895" max="5895" width="6.3359375" style="11" customWidth="1"/>
    <col min="5896" max="5897" width="2.96484375" style="11" customWidth="1"/>
    <col min="5898" max="5898" width="4.58203125" style="11" customWidth="1"/>
    <col min="5899" max="5899" width="1.88671875" style="11" customWidth="1"/>
    <col min="5900" max="5900" width="4.98828125" style="11" customWidth="1"/>
    <col min="5901" max="5901" width="4.8515625" style="11" customWidth="1"/>
    <col min="5902" max="5904" width="3.234375" style="11" customWidth="1"/>
    <col min="5905" max="5906" width="4.04296875" style="11" customWidth="1"/>
    <col min="5907" max="5909" width="3.91015625" style="11" customWidth="1"/>
    <col min="5910" max="5911" width="10.65234375" style="11" customWidth="1"/>
    <col min="5912" max="5913" width="3.234375" style="11" customWidth="1"/>
    <col min="5914" max="5914" width="8.76171875" style="11" customWidth="1"/>
    <col min="5915" max="6144" width="9.16796875" style="11" customWidth="1"/>
    <col min="6145" max="6146" width="4.44921875" style="11" customWidth="1"/>
    <col min="6147" max="6147" width="0" style="11" hidden="1" customWidth="1"/>
    <col min="6148" max="6148" width="4.44921875" style="11" customWidth="1"/>
    <col min="6149" max="6149" width="0" style="11" hidden="1" customWidth="1"/>
    <col min="6150" max="6150" width="3.50390625" style="11" customWidth="1"/>
    <col min="6151" max="6151" width="6.3359375" style="11" customWidth="1"/>
    <col min="6152" max="6153" width="2.96484375" style="11" customWidth="1"/>
    <col min="6154" max="6154" width="4.58203125" style="11" customWidth="1"/>
    <col min="6155" max="6155" width="1.88671875" style="11" customWidth="1"/>
    <col min="6156" max="6156" width="4.98828125" style="11" customWidth="1"/>
    <col min="6157" max="6157" width="4.8515625" style="11" customWidth="1"/>
    <col min="6158" max="6160" width="3.234375" style="11" customWidth="1"/>
    <col min="6161" max="6162" width="4.04296875" style="11" customWidth="1"/>
    <col min="6163" max="6165" width="3.91015625" style="11" customWidth="1"/>
    <col min="6166" max="6167" width="10.65234375" style="11" customWidth="1"/>
    <col min="6168" max="6169" width="3.234375" style="11" customWidth="1"/>
    <col min="6170" max="6170" width="8.76171875" style="11" customWidth="1"/>
    <col min="6171" max="6400" width="9.16796875" style="11" customWidth="1"/>
    <col min="6401" max="6402" width="4.44921875" style="11" customWidth="1"/>
    <col min="6403" max="6403" width="0" style="11" hidden="1" customWidth="1"/>
    <col min="6404" max="6404" width="4.44921875" style="11" customWidth="1"/>
    <col min="6405" max="6405" width="0" style="11" hidden="1" customWidth="1"/>
    <col min="6406" max="6406" width="3.50390625" style="11" customWidth="1"/>
    <col min="6407" max="6407" width="6.3359375" style="11" customWidth="1"/>
    <col min="6408" max="6409" width="2.96484375" style="11" customWidth="1"/>
    <col min="6410" max="6410" width="4.58203125" style="11" customWidth="1"/>
    <col min="6411" max="6411" width="1.88671875" style="11" customWidth="1"/>
    <col min="6412" max="6412" width="4.98828125" style="11" customWidth="1"/>
    <col min="6413" max="6413" width="4.8515625" style="11" customWidth="1"/>
    <col min="6414" max="6416" width="3.234375" style="11" customWidth="1"/>
    <col min="6417" max="6418" width="4.04296875" style="11" customWidth="1"/>
    <col min="6419" max="6421" width="3.91015625" style="11" customWidth="1"/>
    <col min="6422" max="6423" width="10.65234375" style="11" customWidth="1"/>
    <col min="6424" max="6425" width="3.234375" style="11" customWidth="1"/>
    <col min="6426" max="6426" width="8.76171875" style="11" customWidth="1"/>
    <col min="6427" max="6656" width="9.16796875" style="11" customWidth="1"/>
    <col min="6657" max="6658" width="4.44921875" style="11" customWidth="1"/>
    <col min="6659" max="6659" width="0" style="11" hidden="1" customWidth="1"/>
    <col min="6660" max="6660" width="4.44921875" style="11" customWidth="1"/>
    <col min="6661" max="6661" width="0" style="11" hidden="1" customWidth="1"/>
    <col min="6662" max="6662" width="3.50390625" style="11" customWidth="1"/>
    <col min="6663" max="6663" width="6.3359375" style="11" customWidth="1"/>
    <col min="6664" max="6665" width="2.96484375" style="11" customWidth="1"/>
    <col min="6666" max="6666" width="4.58203125" style="11" customWidth="1"/>
    <col min="6667" max="6667" width="1.88671875" style="11" customWidth="1"/>
    <col min="6668" max="6668" width="4.98828125" style="11" customWidth="1"/>
    <col min="6669" max="6669" width="4.8515625" style="11" customWidth="1"/>
    <col min="6670" max="6672" width="3.234375" style="11" customWidth="1"/>
    <col min="6673" max="6674" width="4.04296875" style="11" customWidth="1"/>
    <col min="6675" max="6677" width="3.91015625" style="11" customWidth="1"/>
    <col min="6678" max="6679" width="10.65234375" style="11" customWidth="1"/>
    <col min="6680" max="6681" width="3.234375" style="11" customWidth="1"/>
    <col min="6682" max="6682" width="8.76171875" style="11" customWidth="1"/>
    <col min="6683" max="6912" width="9.16796875" style="11" customWidth="1"/>
    <col min="6913" max="6914" width="4.44921875" style="11" customWidth="1"/>
    <col min="6915" max="6915" width="0" style="11" hidden="1" customWidth="1"/>
    <col min="6916" max="6916" width="4.44921875" style="11" customWidth="1"/>
    <col min="6917" max="6917" width="0" style="11" hidden="1" customWidth="1"/>
    <col min="6918" max="6918" width="3.50390625" style="11" customWidth="1"/>
    <col min="6919" max="6919" width="6.3359375" style="11" customWidth="1"/>
    <col min="6920" max="6921" width="2.96484375" style="11" customWidth="1"/>
    <col min="6922" max="6922" width="4.58203125" style="11" customWidth="1"/>
    <col min="6923" max="6923" width="1.88671875" style="11" customWidth="1"/>
    <col min="6924" max="6924" width="4.98828125" style="11" customWidth="1"/>
    <col min="6925" max="6925" width="4.8515625" style="11" customWidth="1"/>
    <col min="6926" max="6928" width="3.234375" style="11" customWidth="1"/>
    <col min="6929" max="6930" width="4.04296875" style="11" customWidth="1"/>
    <col min="6931" max="6933" width="3.91015625" style="11" customWidth="1"/>
    <col min="6934" max="6935" width="10.65234375" style="11" customWidth="1"/>
    <col min="6936" max="6937" width="3.234375" style="11" customWidth="1"/>
    <col min="6938" max="6938" width="8.76171875" style="11" customWidth="1"/>
    <col min="6939" max="7168" width="9.16796875" style="11" customWidth="1"/>
    <col min="7169" max="7170" width="4.44921875" style="11" customWidth="1"/>
    <col min="7171" max="7171" width="0" style="11" hidden="1" customWidth="1"/>
    <col min="7172" max="7172" width="4.44921875" style="11" customWidth="1"/>
    <col min="7173" max="7173" width="0" style="11" hidden="1" customWidth="1"/>
    <col min="7174" max="7174" width="3.50390625" style="11" customWidth="1"/>
    <col min="7175" max="7175" width="6.3359375" style="11" customWidth="1"/>
    <col min="7176" max="7177" width="2.96484375" style="11" customWidth="1"/>
    <col min="7178" max="7178" width="4.58203125" style="11" customWidth="1"/>
    <col min="7179" max="7179" width="1.88671875" style="11" customWidth="1"/>
    <col min="7180" max="7180" width="4.98828125" style="11" customWidth="1"/>
    <col min="7181" max="7181" width="4.8515625" style="11" customWidth="1"/>
    <col min="7182" max="7184" width="3.234375" style="11" customWidth="1"/>
    <col min="7185" max="7186" width="4.04296875" style="11" customWidth="1"/>
    <col min="7187" max="7189" width="3.91015625" style="11" customWidth="1"/>
    <col min="7190" max="7191" width="10.65234375" style="11" customWidth="1"/>
    <col min="7192" max="7193" width="3.234375" style="11" customWidth="1"/>
    <col min="7194" max="7194" width="8.76171875" style="11" customWidth="1"/>
    <col min="7195" max="7424" width="9.16796875" style="11" customWidth="1"/>
    <col min="7425" max="7426" width="4.44921875" style="11" customWidth="1"/>
    <col min="7427" max="7427" width="0" style="11" hidden="1" customWidth="1"/>
    <col min="7428" max="7428" width="4.44921875" style="11" customWidth="1"/>
    <col min="7429" max="7429" width="0" style="11" hidden="1" customWidth="1"/>
    <col min="7430" max="7430" width="3.50390625" style="11" customWidth="1"/>
    <col min="7431" max="7431" width="6.3359375" style="11" customWidth="1"/>
    <col min="7432" max="7433" width="2.96484375" style="11" customWidth="1"/>
    <col min="7434" max="7434" width="4.58203125" style="11" customWidth="1"/>
    <col min="7435" max="7435" width="1.88671875" style="11" customWidth="1"/>
    <col min="7436" max="7436" width="4.98828125" style="11" customWidth="1"/>
    <col min="7437" max="7437" width="4.8515625" style="11" customWidth="1"/>
    <col min="7438" max="7440" width="3.234375" style="11" customWidth="1"/>
    <col min="7441" max="7442" width="4.04296875" style="11" customWidth="1"/>
    <col min="7443" max="7445" width="3.91015625" style="11" customWidth="1"/>
    <col min="7446" max="7447" width="10.65234375" style="11" customWidth="1"/>
    <col min="7448" max="7449" width="3.234375" style="11" customWidth="1"/>
    <col min="7450" max="7450" width="8.76171875" style="11" customWidth="1"/>
    <col min="7451" max="7680" width="9.16796875" style="11" customWidth="1"/>
    <col min="7681" max="7682" width="4.44921875" style="11" customWidth="1"/>
    <col min="7683" max="7683" width="0" style="11" hidden="1" customWidth="1"/>
    <col min="7684" max="7684" width="4.44921875" style="11" customWidth="1"/>
    <col min="7685" max="7685" width="0" style="11" hidden="1" customWidth="1"/>
    <col min="7686" max="7686" width="3.50390625" style="11" customWidth="1"/>
    <col min="7687" max="7687" width="6.3359375" style="11" customWidth="1"/>
    <col min="7688" max="7689" width="2.96484375" style="11" customWidth="1"/>
    <col min="7690" max="7690" width="4.58203125" style="11" customWidth="1"/>
    <col min="7691" max="7691" width="1.88671875" style="11" customWidth="1"/>
    <col min="7692" max="7692" width="4.98828125" style="11" customWidth="1"/>
    <col min="7693" max="7693" width="4.8515625" style="11" customWidth="1"/>
    <col min="7694" max="7696" width="3.234375" style="11" customWidth="1"/>
    <col min="7697" max="7698" width="4.04296875" style="11" customWidth="1"/>
    <col min="7699" max="7701" width="3.91015625" style="11" customWidth="1"/>
    <col min="7702" max="7703" width="10.65234375" style="11" customWidth="1"/>
    <col min="7704" max="7705" width="3.234375" style="11" customWidth="1"/>
    <col min="7706" max="7706" width="8.76171875" style="11" customWidth="1"/>
    <col min="7707" max="7936" width="9.16796875" style="11" customWidth="1"/>
    <col min="7937" max="7938" width="4.44921875" style="11" customWidth="1"/>
    <col min="7939" max="7939" width="0" style="11" hidden="1" customWidth="1"/>
    <col min="7940" max="7940" width="4.44921875" style="11" customWidth="1"/>
    <col min="7941" max="7941" width="0" style="11" hidden="1" customWidth="1"/>
    <col min="7942" max="7942" width="3.50390625" style="11" customWidth="1"/>
    <col min="7943" max="7943" width="6.3359375" style="11" customWidth="1"/>
    <col min="7944" max="7945" width="2.96484375" style="11" customWidth="1"/>
    <col min="7946" max="7946" width="4.58203125" style="11" customWidth="1"/>
    <col min="7947" max="7947" width="1.88671875" style="11" customWidth="1"/>
    <col min="7948" max="7948" width="4.98828125" style="11" customWidth="1"/>
    <col min="7949" max="7949" width="4.8515625" style="11" customWidth="1"/>
    <col min="7950" max="7952" width="3.234375" style="11" customWidth="1"/>
    <col min="7953" max="7954" width="4.04296875" style="11" customWidth="1"/>
    <col min="7955" max="7957" width="3.91015625" style="11" customWidth="1"/>
    <col min="7958" max="7959" width="10.65234375" style="11" customWidth="1"/>
    <col min="7960" max="7961" width="3.234375" style="11" customWidth="1"/>
    <col min="7962" max="7962" width="8.76171875" style="11" customWidth="1"/>
    <col min="7963" max="8192" width="9.16796875" style="11" customWidth="1"/>
    <col min="8193" max="8194" width="4.44921875" style="11" customWidth="1"/>
    <col min="8195" max="8195" width="0" style="11" hidden="1" customWidth="1"/>
    <col min="8196" max="8196" width="4.44921875" style="11" customWidth="1"/>
    <col min="8197" max="8197" width="0" style="11" hidden="1" customWidth="1"/>
    <col min="8198" max="8198" width="3.50390625" style="11" customWidth="1"/>
    <col min="8199" max="8199" width="6.3359375" style="11" customWidth="1"/>
    <col min="8200" max="8201" width="2.96484375" style="11" customWidth="1"/>
    <col min="8202" max="8202" width="4.58203125" style="11" customWidth="1"/>
    <col min="8203" max="8203" width="1.88671875" style="11" customWidth="1"/>
    <col min="8204" max="8204" width="4.98828125" style="11" customWidth="1"/>
    <col min="8205" max="8205" width="4.8515625" style="11" customWidth="1"/>
    <col min="8206" max="8208" width="3.234375" style="11" customWidth="1"/>
    <col min="8209" max="8210" width="4.04296875" style="11" customWidth="1"/>
    <col min="8211" max="8213" width="3.91015625" style="11" customWidth="1"/>
    <col min="8214" max="8215" width="10.65234375" style="11" customWidth="1"/>
    <col min="8216" max="8217" width="3.234375" style="11" customWidth="1"/>
    <col min="8218" max="8218" width="8.76171875" style="11" customWidth="1"/>
    <col min="8219" max="8448" width="9.16796875" style="11" customWidth="1"/>
    <col min="8449" max="8450" width="4.44921875" style="11" customWidth="1"/>
    <col min="8451" max="8451" width="0" style="11" hidden="1" customWidth="1"/>
    <col min="8452" max="8452" width="4.44921875" style="11" customWidth="1"/>
    <col min="8453" max="8453" width="0" style="11" hidden="1" customWidth="1"/>
    <col min="8454" max="8454" width="3.50390625" style="11" customWidth="1"/>
    <col min="8455" max="8455" width="6.3359375" style="11" customWidth="1"/>
    <col min="8456" max="8457" width="2.96484375" style="11" customWidth="1"/>
    <col min="8458" max="8458" width="4.58203125" style="11" customWidth="1"/>
    <col min="8459" max="8459" width="1.88671875" style="11" customWidth="1"/>
    <col min="8460" max="8460" width="4.98828125" style="11" customWidth="1"/>
    <col min="8461" max="8461" width="4.8515625" style="11" customWidth="1"/>
    <col min="8462" max="8464" width="3.234375" style="11" customWidth="1"/>
    <col min="8465" max="8466" width="4.04296875" style="11" customWidth="1"/>
    <col min="8467" max="8469" width="3.91015625" style="11" customWidth="1"/>
    <col min="8470" max="8471" width="10.65234375" style="11" customWidth="1"/>
    <col min="8472" max="8473" width="3.234375" style="11" customWidth="1"/>
    <col min="8474" max="8474" width="8.76171875" style="11" customWidth="1"/>
    <col min="8475" max="8704" width="9.16796875" style="11" customWidth="1"/>
    <col min="8705" max="8706" width="4.44921875" style="11" customWidth="1"/>
    <col min="8707" max="8707" width="0" style="11" hidden="1" customWidth="1"/>
    <col min="8708" max="8708" width="4.44921875" style="11" customWidth="1"/>
    <col min="8709" max="8709" width="0" style="11" hidden="1" customWidth="1"/>
    <col min="8710" max="8710" width="3.50390625" style="11" customWidth="1"/>
    <col min="8711" max="8711" width="6.3359375" style="11" customWidth="1"/>
    <col min="8712" max="8713" width="2.96484375" style="11" customWidth="1"/>
    <col min="8714" max="8714" width="4.58203125" style="11" customWidth="1"/>
    <col min="8715" max="8715" width="1.88671875" style="11" customWidth="1"/>
    <col min="8716" max="8716" width="4.98828125" style="11" customWidth="1"/>
    <col min="8717" max="8717" width="4.8515625" style="11" customWidth="1"/>
    <col min="8718" max="8720" width="3.234375" style="11" customWidth="1"/>
    <col min="8721" max="8722" width="4.04296875" style="11" customWidth="1"/>
    <col min="8723" max="8725" width="3.91015625" style="11" customWidth="1"/>
    <col min="8726" max="8727" width="10.65234375" style="11" customWidth="1"/>
    <col min="8728" max="8729" width="3.234375" style="11" customWidth="1"/>
    <col min="8730" max="8730" width="8.76171875" style="11" customWidth="1"/>
    <col min="8731" max="8960" width="9.16796875" style="11" customWidth="1"/>
    <col min="8961" max="8962" width="4.44921875" style="11" customWidth="1"/>
    <col min="8963" max="8963" width="0" style="11" hidden="1" customWidth="1"/>
    <col min="8964" max="8964" width="4.44921875" style="11" customWidth="1"/>
    <col min="8965" max="8965" width="0" style="11" hidden="1" customWidth="1"/>
    <col min="8966" max="8966" width="3.50390625" style="11" customWidth="1"/>
    <col min="8967" max="8967" width="6.3359375" style="11" customWidth="1"/>
    <col min="8968" max="8969" width="2.96484375" style="11" customWidth="1"/>
    <col min="8970" max="8970" width="4.58203125" style="11" customWidth="1"/>
    <col min="8971" max="8971" width="1.88671875" style="11" customWidth="1"/>
    <col min="8972" max="8972" width="4.98828125" style="11" customWidth="1"/>
    <col min="8973" max="8973" width="4.8515625" style="11" customWidth="1"/>
    <col min="8974" max="8976" width="3.234375" style="11" customWidth="1"/>
    <col min="8977" max="8978" width="4.04296875" style="11" customWidth="1"/>
    <col min="8979" max="8981" width="3.91015625" style="11" customWidth="1"/>
    <col min="8982" max="8983" width="10.65234375" style="11" customWidth="1"/>
    <col min="8984" max="8985" width="3.234375" style="11" customWidth="1"/>
    <col min="8986" max="8986" width="8.76171875" style="11" customWidth="1"/>
    <col min="8987" max="9216" width="9.16796875" style="11" customWidth="1"/>
    <col min="9217" max="9218" width="4.44921875" style="11" customWidth="1"/>
    <col min="9219" max="9219" width="0" style="11" hidden="1" customWidth="1"/>
    <col min="9220" max="9220" width="4.44921875" style="11" customWidth="1"/>
    <col min="9221" max="9221" width="0" style="11" hidden="1" customWidth="1"/>
    <col min="9222" max="9222" width="3.50390625" style="11" customWidth="1"/>
    <col min="9223" max="9223" width="6.3359375" style="11" customWidth="1"/>
    <col min="9224" max="9225" width="2.96484375" style="11" customWidth="1"/>
    <col min="9226" max="9226" width="4.58203125" style="11" customWidth="1"/>
    <col min="9227" max="9227" width="1.88671875" style="11" customWidth="1"/>
    <col min="9228" max="9228" width="4.98828125" style="11" customWidth="1"/>
    <col min="9229" max="9229" width="4.8515625" style="11" customWidth="1"/>
    <col min="9230" max="9232" width="3.234375" style="11" customWidth="1"/>
    <col min="9233" max="9234" width="4.04296875" style="11" customWidth="1"/>
    <col min="9235" max="9237" width="3.91015625" style="11" customWidth="1"/>
    <col min="9238" max="9239" width="10.65234375" style="11" customWidth="1"/>
    <col min="9240" max="9241" width="3.234375" style="11" customWidth="1"/>
    <col min="9242" max="9242" width="8.76171875" style="11" customWidth="1"/>
    <col min="9243" max="9472" width="9.16796875" style="11" customWidth="1"/>
    <col min="9473" max="9474" width="4.44921875" style="11" customWidth="1"/>
    <col min="9475" max="9475" width="0" style="11" hidden="1" customWidth="1"/>
    <col min="9476" max="9476" width="4.44921875" style="11" customWidth="1"/>
    <col min="9477" max="9477" width="0" style="11" hidden="1" customWidth="1"/>
    <col min="9478" max="9478" width="3.50390625" style="11" customWidth="1"/>
    <col min="9479" max="9479" width="6.3359375" style="11" customWidth="1"/>
    <col min="9480" max="9481" width="2.96484375" style="11" customWidth="1"/>
    <col min="9482" max="9482" width="4.58203125" style="11" customWidth="1"/>
    <col min="9483" max="9483" width="1.88671875" style="11" customWidth="1"/>
    <col min="9484" max="9484" width="4.98828125" style="11" customWidth="1"/>
    <col min="9485" max="9485" width="4.8515625" style="11" customWidth="1"/>
    <col min="9486" max="9488" width="3.234375" style="11" customWidth="1"/>
    <col min="9489" max="9490" width="4.04296875" style="11" customWidth="1"/>
    <col min="9491" max="9493" width="3.91015625" style="11" customWidth="1"/>
    <col min="9494" max="9495" width="10.65234375" style="11" customWidth="1"/>
    <col min="9496" max="9497" width="3.234375" style="11" customWidth="1"/>
    <col min="9498" max="9498" width="8.76171875" style="11" customWidth="1"/>
    <col min="9499" max="9728" width="9.16796875" style="11" customWidth="1"/>
    <col min="9729" max="9730" width="4.44921875" style="11" customWidth="1"/>
    <col min="9731" max="9731" width="0" style="11" hidden="1" customWidth="1"/>
    <col min="9732" max="9732" width="4.44921875" style="11" customWidth="1"/>
    <col min="9733" max="9733" width="0" style="11" hidden="1" customWidth="1"/>
    <col min="9734" max="9734" width="3.50390625" style="11" customWidth="1"/>
    <col min="9735" max="9735" width="6.3359375" style="11" customWidth="1"/>
    <col min="9736" max="9737" width="2.96484375" style="11" customWidth="1"/>
    <col min="9738" max="9738" width="4.58203125" style="11" customWidth="1"/>
    <col min="9739" max="9739" width="1.88671875" style="11" customWidth="1"/>
    <col min="9740" max="9740" width="4.98828125" style="11" customWidth="1"/>
    <col min="9741" max="9741" width="4.8515625" style="11" customWidth="1"/>
    <col min="9742" max="9744" width="3.234375" style="11" customWidth="1"/>
    <col min="9745" max="9746" width="4.04296875" style="11" customWidth="1"/>
    <col min="9747" max="9749" width="3.91015625" style="11" customWidth="1"/>
    <col min="9750" max="9751" width="10.65234375" style="11" customWidth="1"/>
    <col min="9752" max="9753" width="3.234375" style="11" customWidth="1"/>
    <col min="9754" max="9754" width="8.76171875" style="11" customWidth="1"/>
    <col min="9755" max="9984" width="9.16796875" style="11" customWidth="1"/>
    <col min="9985" max="9986" width="4.44921875" style="11" customWidth="1"/>
    <col min="9987" max="9987" width="0" style="11" hidden="1" customWidth="1"/>
    <col min="9988" max="9988" width="4.44921875" style="11" customWidth="1"/>
    <col min="9989" max="9989" width="0" style="11" hidden="1" customWidth="1"/>
    <col min="9990" max="9990" width="3.50390625" style="11" customWidth="1"/>
    <col min="9991" max="9991" width="6.3359375" style="11" customWidth="1"/>
    <col min="9992" max="9993" width="2.96484375" style="11" customWidth="1"/>
    <col min="9994" max="9994" width="4.58203125" style="11" customWidth="1"/>
    <col min="9995" max="9995" width="1.88671875" style="11" customWidth="1"/>
    <col min="9996" max="9996" width="4.98828125" style="11" customWidth="1"/>
    <col min="9997" max="9997" width="4.8515625" style="11" customWidth="1"/>
    <col min="9998" max="10000" width="3.234375" style="11" customWidth="1"/>
    <col min="10001" max="10002" width="4.04296875" style="11" customWidth="1"/>
    <col min="10003" max="10005" width="3.91015625" style="11" customWidth="1"/>
    <col min="10006" max="10007" width="10.65234375" style="11" customWidth="1"/>
    <col min="10008" max="10009" width="3.234375" style="11" customWidth="1"/>
    <col min="10010" max="10010" width="8.76171875" style="11" customWidth="1"/>
    <col min="10011" max="10240" width="9.16796875" style="11" customWidth="1"/>
    <col min="10241" max="10242" width="4.44921875" style="11" customWidth="1"/>
    <col min="10243" max="10243" width="0" style="11" hidden="1" customWidth="1"/>
    <col min="10244" max="10244" width="4.44921875" style="11" customWidth="1"/>
    <col min="10245" max="10245" width="0" style="11" hidden="1" customWidth="1"/>
    <col min="10246" max="10246" width="3.50390625" style="11" customWidth="1"/>
    <col min="10247" max="10247" width="6.3359375" style="11" customWidth="1"/>
    <col min="10248" max="10249" width="2.96484375" style="11" customWidth="1"/>
    <col min="10250" max="10250" width="4.58203125" style="11" customWidth="1"/>
    <col min="10251" max="10251" width="1.88671875" style="11" customWidth="1"/>
    <col min="10252" max="10252" width="4.98828125" style="11" customWidth="1"/>
    <col min="10253" max="10253" width="4.8515625" style="11" customWidth="1"/>
    <col min="10254" max="10256" width="3.234375" style="11" customWidth="1"/>
    <col min="10257" max="10258" width="4.04296875" style="11" customWidth="1"/>
    <col min="10259" max="10261" width="3.91015625" style="11" customWidth="1"/>
    <col min="10262" max="10263" width="10.65234375" style="11" customWidth="1"/>
    <col min="10264" max="10265" width="3.234375" style="11" customWidth="1"/>
    <col min="10266" max="10266" width="8.76171875" style="11" customWidth="1"/>
    <col min="10267" max="10496" width="9.16796875" style="11" customWidth="1"/>
    <col min="10497" max="10498" width="4.44921875" style="11" customWidth="1"/>
    <col min="10499" max="10499" width="0" style="11" hidden="1" customWidth="1"/>
    <col min="10500" max="10500" width="4.44921875" style="11" customWidth="1"/>
    <col min="10501" max="10501" width="0" style="11" hidden="1" customWidth="1"/>
    <col min="10502" max="10502" width="3.50390625" style="11" customWidth="1"/>
    <col min="10503" max="10503" width="6.3359375" style="11" customWidth="1"/>
    <col min="10504" max="10505" width="2.96484375" style="11" customWidth="1"/>
    <col min="10506" max="10506" width="4.58203125" style="11" customWidth="1"/>
    <col min="10507" max="10507" width="1.88671875" style="11" customWidth="1"/>
    <col min="10508" max="10508" width="4.98828125" style="11" customWidth="1"/>
    <col min="10509" max="10509" width="4.8515625" style="11" customWidth="1"/>
    <col min="10510" max="10512" width="3.234375" style="11" customWidth="1"/>
    <col min="10513" max="10514" width="4.04296875" style="11" customWidth="1"/>
    <col min="10515" max="10517" width="3.91015625" style="11" customWidth="1"/>
    <col min="10518" max="10519" width="10.65234375" style="11" customWidth="1"/>
    <col min="10520" max="10521" width="3.234375" style="11" customWidth="1"/>
    <col min="10522" max="10522" width="8.76171875" style="11" customWidth="1"/>
    <col min="10523" max="10752" width="9.16796875" style="11" customWidth="1"/>
    <col min="10753" max="10754" width="4.44921875" style="11" customWidth="1"/>
    <col min="10755" max="10755" width="0" style="11" hidden="1" customWidth="1"/>
    <col min="10756" max="10756" width="4.44921875" style="11" customWidth="1"/>
    <col min="10757" max="10757" width="0" style="11" hidden="1" customWidth="1"/>
    <col min="10758" max="10758" width="3.50390625" style="11" customWidth="1"/>
    <col min="10759" max="10759" width="6.3359375" style="11" customWidth="1"/>
    <col min="10760" max="10761" width="2.96484375" style="11" customWidth="1"/>
    <col min="10762" max="10762" width="4.58203125" style="11" customWidth="1"/>
    <col min="10763" max="10763" width="1.88671875" style="11" customWidth="1"/>
    <col min="10764" max="10764" width="4.98828125" style="11" customWidth="1"/>
    <col min="10765" max="10765" width="4.8515625" style="11" customWidth="1"/>
    <col min="10766" max="10768" width="3.234375" style="11" customWidth="1"/>
    <col min="10769" max="10770" width="4.04296875" style="11" customWidth="1"/>
    <col min="10771" max="10773" width="3.91015625" style="11" customWidth="1"/>
    <col min="10774" max="10775" width="10.65234375" style="11" customWidth="1"/>
    <col min="10776" max="10777" width="3.234375" style="11" customWidth="1"/>
    <col min="10778" max="10778" width="8.76171875" style="11" customWidth="1"/>
    <col min="10779" max="11008" width="9.16796875" style="11" customWidth="1"/>
    <col min="11009" max="11010" width="4.44921875" style="11" customWidth="1"/>
    <col min="11011" max="11011" width="0" style="11" hidden="1" customWidth="1"/>
    <col min="11012" max="11012" width="4.44921875" style="11" customWidth="1"/>
    <col min="11013" max="11013" width="0" style="11" hidden="1" customWidth="1"/>
    <col min="11014" max="11014" width="3.50390625" style="11" customWidth="1"/>
    <col min="11015" max="11015" width="6.3359375" style="11" customWidth="1"/>
    <col min="11016" max="11017" width="2.96484375" style="11" customWidth="1"/>
    <col min="11018" max="11018" width="4.58203125" style="11" customWidth="1"/>
    <col min="11019" max="11019" width="1.88671875" style="11" customWidth="1"/>
    <col min="11020" max="11020" width="4.98828125" style="11" customWidth="1"/>
    <col min="11021" max="11021" width="4.8515625" style="11" customWidth="1"/>
    <col min="11022" max="11024" width="3.234375" style="11" customWidth="1"/>
    <col min="11025" max="11026" width="4.04296875" style="11" customWidth="1"/>
    <col min="11027" max="11029" width="3.91015625" style="11" customWidth="1"/>
    <col min="11030" max="11031" width="10.65234375" style="11" customWidth="1"/>
    <col min="11032" max="11033" width="3.234375" style="11" customWidth="1"/>
    <col min="11034" max="11034" width="8.76171875" style="11" customWidth="1"/>
    <col min="11035" max="11264" width="9.16796875" style="11" customWidth="1"/>
    <col min="11265" max="11266" width="4.44921875" style="11" customWidth="1"/>
    <col min="11267" max="11267" width="0" style="11" hidden="1" customWidth="1"/>
    <col min="11268" max="11268" width="4.44921875" style="11" customWidth="1"/>
    <col min="11269" max="11269" width="0" style="11" hidden="1" customWidth="1"/>
    <col min="11270" max="11270" width="3.50390625" style="11" customWidth="1"/>
    <col min="11271" max="11271" width="6.3359375" style="11" customWidth="1"/>
    <col min="11272" max="11273" width="2.96484375" style="11" customWidth="1"/>
    <col min="11274" max="11274" width="4.58203125" style="11" customWidth="1"/>
    <col min="11275" max="11275" width="1.88671875" style="11" customWidth="1"/>
    <col min="11276" max="11276" width="4.98828125" style="11" customWidth="1"/>
    <col min="11277" max="11277" width="4.8515625" style="11" customWidth="1"/>
    <col min="11278" max="11280" width="3.234375" style="11" customWidth="1"/>
    <col min="11281" max="11282" width="4.04296875" style="11" customWidth="1"/>
    <col min="11283" max="11285" width="3.91015625" style="11" customWidth="1"/>
    <col min="11286" max="11287" width="10.65234375" style="11" customWidth="1"/>
    <col min="11288" max="11289" width="3.234375" style="11" customWidth="1"/>
    <col min="11290" max="11290" width="8.76171875" style="11" customWidth="1"/>
    <col min="11291" max="11520" width="9.16796875" style="11" customWidth="1"/>
    <col min="11521" max="11522" width="4.44921875" style="11" customWidth="1"/>
    <col min="11523" max="11523" width="0" style="11" hidden="1" customWidth="1"/>
    <col min="11524" max="11524" width="4.44921875" style="11" customWidth="1"/>
    <col min="11525" max="11525" width="0" style="11" hidden="1" customWidth="1"/>
    <col min="11526" max="11526" width="3.50390625" style="11" customWidth="1"/>
    <col min="11527" max="11527" width="6.3359375" style="11" customWidth="1"/>
    <col min="11528" max="11529" width="2.96484375" style="11" customWidth="1"/>
    <col min="11530" max="11530" width="4.58203125" style="11" customWidth="1"/>
    <col min="11531" max="11531" width="1.88671875" style="11" customWidth="1"/>
    <col min="11532" max="11532" width="4.98828125" style="11" customWidth="1"/>
    <col min="11533" max="11533" width="4.8515625" style="11" customWidth="1"/>
    <col min="11534" max="11536" width="3.234375" style="11" customWidth="1"/>
    <col min="11537" max="11538" width="4.04296875" style="11" customWidth="1"/>
    <col min="11539" max="11541" width="3.91015625" style="11" customWidth="1"/>
    <col min="11542" max="11543" width="10.65234375" style="11" customWidth="1"/>
    <col min="11544" max="11545" width="3.234375" style="11" customWidth="1"/>
    <col min="11546" max="11546" width="8.76171875" style="11" customWidth="1"/>
    <col min="11547" max="11776" width="9.16796875" style="11" customWidth="1"/>
    <col min="11777" max="11778" width="4.44921875" style="11" customWidth="1"/>
    <col min="11779" max="11779" width="0" style="11" hidden="1" customWidth="1"/>
    <col min="11780" max="11780" width="4.44921875" style="11" customWidth="1"/>
    <col min="11781" max="11781" width="0" style="11" hidden="1" customWidth="1"/>
    <col min="11782" max="11782" width="3.50390625" style="11" customWidth="1"/>
    <col min="11783" max="11783" width="6.3359375" style="11" customWidth="1"/>
    <col min="11784" max="11785" width="2.96484375" style="11" customWidth="1"/>
    <col min="11786" max="11786" width="4.58203125" style="11" customWidth="1"/>
    <col min="11787" max="11787" width="1.88671875" style="11" customWidth="1"/>
    <col min="11788" max="11788" width="4.98828125" style="11" customWidth="1"/>
    <col min="11789" max="11789" width="4.8515625" style="11" customWidth="1"/>
    <col min="11790" max="11792" width="3.234375" style="11" customWidth="1"/>
    <col min="11793" max="11794" width="4.04296875" style="11" customWidth="1"/>
    <col min="11795" max="11797" width="3.91015625" style="11" customWidth="1"/>
    <col min="11798" max="11799" width="10.65234375" style="11" customWidth="1"/>
    <col min="11800" max="11801" width="3.234375" style="11" customWidth="1"/>
    <col min="11802" max="11802" width="8.76171875" style="11" customWidth="1"/>
    <col min="11803" max="12032" width="9.16796875" style="11" customWidth="1"/>
    <col min="12033" max="12034" width="4.44921875" style="11" customWidth="1"/>
    <col min="12035" max="12035" width="0" style="11" hidden="1" customWidth="1"/>
    <col min="12036" max="12036" width="4.44921875" style="11" customWidth="1"/>
    <col min="12037" max="12037" width="0" style="11" hidden="1" customWidth="1"/>
    <col min="12038" max="12038" width="3.50390625" style="11" customWidth="1"/>
    <col min="12039" max="12039" width="6.3359375" style="11" customWidth="1"/>
    <col min="12040" max="12041" width="2.96484375" style="11" customWidth="1"/>
    <col min="12042" max="12042" width="4.58203125" style="11" customWidth="1"/>
    <col min="12043" max="12043" width="1.88671875" style="11" customWidth="1"/>
    <col min="12044" max="12044" width="4.98828125" style="11" customWidth="1"/>
    <col min="12045" max="12045" width="4.8515625" style="11" customWidth="1"/>
    <col min="12046" max="12048" width="3.234375" style="11" customWidth="1"/>
    <col min="12049" max="12050" width="4.04296875" style="11" customWidth="1"/>
    <col min="12051" max="12053" width="3.91015625" style="11" customWidth="1"/>
    <col min="12054" max="12055" width="10.65234375" style="11" customWidth="1"/>
    <col min="12056" max="12057" width="3.234375" style="11" customWidth="1"/>
    <col min="12058" max="12058" width="8.76171875" style="11" customWidth="1"/>
    <col min="12059" max="12288" width="9.16796875" style="11" customWidth="1"/>
    <col min="12289" max="12290" width="4.44921875" style="11" customWidth="1"/>
    <col min="12291" max="12291" width="0" style="11" hidden="1" customWidth="1"/>
    <col min="12292" max="12292" width="4.44921875" style="11" customWidth="1"/>
    <col min="12293" max="12293" width="0" style="11" hidden="1" customWidth="1"/>
    <col min="12294" max="12294" width="3.50390625" style="11" customWidth="1"/>
    <col min="12295" max="12295" width="6.3359375" style="11" customWidth="1"/>
    <col min="12296" max="12297" width="2.96484375" style="11" customWidth="1"/>
    <col min="12298" max="12298" width="4.58203125" style="11" customWidth="1"/>
    <col min="12299" max="12299" width="1.88671875" style="11" customWidth="1"/>
    <col min="12300" max="12300" width="4.98828125" style="11" customWidth="1"/>
    <col min="12301" max="12301" width="4.8515625" style="11" customWidth="1"/>
    <col min="12302" max="12304" width="3.234375" style="11" customWidth="1"/>
    <col min="12305" max="12306" width="4.04296875" style="11" customWidth="1"/>
    <col min="12307" max="12309" width="3.91015625" style="11" customWidth="1"/>
    <col min="12310" max="12311" width="10.65234375" style="11" customWidth="1"/>
    <col min="12312" max="12313" width="3.234375" style="11" customWidth="1"/>
    <col min="12314" max="12314" width="8.76171875" style="11" customWidth="1"/>
    <col min="12315" max="12544" width="9.16796875" style="11" customWidth="1"/>
    <col min="12545" max="12546" width="4.44921875" style="11" customWidth="1"/>
    <col min="12547" max="12547" width="0" style="11" hidden="1" customWidth="1"/>
    <col min="12548" max="12548" width="4.44921875" style="11" customWidth="1"/>
    <col min="12549" max="12549" width="0" style="11" hidden="1" customWidth="1"/>
    <col min="12550" max="12550" width="3.50390625" style="11" customWidth="1"/>
    <col min="12551" max="12551" width="6.3359375" style="11" customWidth="1"/>
    <col min="12552" max="12553" width="2.96484375" style="11" customWidth="1"/>
    <col min="12554" max="12554" width="4.58203125" style="11" customWidth="1"/>
    <col min="12555" max="12555" width="1.88671875" style="11" customWidth="1"/>
    <col min="12556" max="12556" width="4.98828125" style="11" customWidth="1"/>
    <col min="12557" max="12557" width="4.8515625" style="11" customWidth="1"/>
    <col min="12558" max="12560" width="3.234375" style="11" customWidth="1"/>
    <col min="12561" max="12562" width="4.04296875" style="11" customWidth="1"/>
    <col min="12563" max="12565" width="3.91015625" style="11" customWidth="1"/>
    <col min="12566" max="12567" width="10.65234375" style="11" customWidth="1"/>
    <col min="12568" max="12569" width="3.234375" style="11" customWidth="1"/>
    <col min="12570" max="12570" width="8.76171875" style="11" customWidth="1"/>
    <col min="12571" max="12800" width="9.16796875" style="11" customWidth="1"/>
    <col min="12801" max="12802" width="4.44921875" style="11" customWidth="1"/>
    <col min="12803" max="12803" width="0" style="11" hidden="1" customWidth="1"/>
    <col min="12804" max="12804" width="4.44921875" style="11" customWidth="1"/>
    <col min="12805" max="12805" width="0" style="11" hidden="1" customWidth="1"/>
    <col min="12806" max="12806" width="3.50390625" style="11" customWidth="1"/>
    <col min="12807" max="12807" width="6.3359375" style="11" customWidth="1"/>
    <col min="12808" max="12809" width="2.96484375" style="11" customWidth="1"/>
    <col min="12810" max="12810" width="4.58203125" style="11" customWidth="1"/>
    <col min="12811" max="12811" width="1.88671875" style="11" customWidth="1"/>
    <col min="12812" max="12812" width="4.98828125" style="11" customWidth="1"/>
    <col min="12813" max="12813" width="4.8515625" style="11" customWidth="1"/>
    <col min="12814" max="12816" width="3.234375" style="11" customWidth="1"/>
    <col min="12817" max="12818" width="4.04296875" style="11" customWidth="1"/>
    <col min="12819" max="12821" width="3.91015625" style="11" customWidth="1"/>
    <col min="12822" max="12823" width="10.65234375" style="11" customWidth="1"/>
    <col min="12824" max="12825" width="3.234375" style="11" customWidth="1"/>
    <col min="12826" max="12826" width="8.76171875" style="11" customWidth="1"/>
    <col min="12827" max="13056" width="9.16796875" style="11" customWidth="1"/>
    <col min="13057" max="13058" width="4.44921875" style="11" customWidth="1"/>
    <col min="13059" max="13059" width="0" style="11" hidden="1" customWidth="1"/>
    <col min="13060" max="13060" width="4.44921875" style="11" customWidth="1"/>
    <col min="13061" max="13061" width="0" style="11" hidden="1" customWidth="1"/>
    <col min="13062" max="13062" width="3.50390625" style="11" customWidth="1"/>
    <col min="13063" max="13063" width="6.3359375" style="11" customWidth="1"/>
    <col min="13064" max="13065" width="2.96484375" style="11" customWidth="1"/>
    <col min="13066" max="13066" width="4.58203125" style="11" customWidth="1"/>
    <col min="13067" max="13067" width="1.88671875" style="11" customWidth="1"/>
    <col min="13068" max="13068" width="4.98828125" style="11" customWidth="1"/>
    <col min="13069" max="13069" width="4.8515625" style="11" customWidth="1"/>
    <col min="13070" max="13072" width="3.234375" style="11" customWidth="1"/>
    <col min="13073" max="13074" width="4.04296875" style="11" customWidth="1"/>
    <col min="13075" max="13077" width="3.91015625" style="11" customWidth="1"/>
    <col min="13078" max="13079" width="10.65234375" style="11" customWidth="1"/>
    <col min="13080" max="13081" width="3.234375" style="11" customWidth="1"/>
    <col min="13082" max="13082" width="8.76171875" style="11" customWidth="1"/>
    <col min="13083" max="13312" width="9.16796875" style="11" customWidth="1"/>
    <col min="13313" max="13314" width="4.44921875" style="11" customWidth="1"/>
    <col min="13315" max="13315" width="0" style="11" hidden="1" customWidth="1"/>
    <col min="13316" max="13316" width="4.44921875" style="11" customWidth="1"/>
    <col min="13317" max="13317" width="0" style="11" hidden="1" customWidth="1"/>
    <col min="13318" max="13318" width="3.50390625" style="11" customWidth="1"/>
    <col min="13319" max="13319" width="6.3359375" style="11" customWidth="1"/>
    <col min="13320" max="13321" width="2.96484375" style="11" customWidth="1"/>
    <col min="13322" max="13322" width="4.58203125" style="11" customWidth="1"/>
    <col min="13323" max="13323" width="1.88671875" style="11" customWidth="1"/>
    <col min="13324" max="13324" width="4.98828125" style="11" customWidth="1"/>
    <col min="13325" max="13325" width="4.8515625" style="11" customWidth="1"/>
    <col min="13326" max="13328" width="3.234375" style="11" customWidth="1"/>
    <col min="13329" max="13330" width="4.04296875" style="11" customWidth="1"/>
    <col min="13331" max="13333" width="3.91015625" style="11" customWidth="1"/>
    <col min="13334" max="13335" width="10.65234375" style="11" customWidth="1"/>
    <col min="13336" max="13337" width="3.234375" style="11" customWidth="1"/>
    <col min="13338" max="13338" width="8.76171875" style="11" customWidth="1"/>
    <col min="13339" max="13568" width="9.16796875" style="11" customWidth="1"/>
    <col min="13569" max="13570" width="4.44921875" style="11" customWidth="1"/>
    <col min="13571" max="13571" width="0" style="11" hidden="1" customWidth="1"/>
    <col min="13572" max="13572" width="4.44921875" style="11" customWidth="1"/>
    <col min="13573" max="13573" width="0" style="11" hidden="1" customWidth="1"/>
    <col min="13574" max="13574" width="3.50390625" style="11" customWidth="1"/>
    <col min="13575" max="13575" width="6.3359375" style="11" customWidth="1"/>
    <col min="13576" max="13577" width="2.96484375" style="11" customWidth="1"/>
    <col min="13578" max="13578" width="4.58203125" style="11" customWidth="1"/>
    <col min="13579" max="13579" width="1.88671875" style="11" customWidth="1"/>
    <col min="13580" max="13580" width="4.98828125" style="11" customWidth="1"/>
    <col min="13581" max="13581" width="4.8515625" style="11" customWidth="1"/>
    <col min="13582" max="13584" width="3.234375" style="11" customWidth="1"/>
    <col min="13585" max="13586" width="4.04296875" style="11" customWidth="1"/>
    <col min="13587" max="13589" width="3.91015625" style="11" customWidth="1"/>
    <col min="13590" max="13591" width="10.65234375" style="11" customWidth="1"/>
    <col min="13592" max="13593" width="3.234375" style="11" customWidth="1"/>
    <col min="13594" max="13594" width="8.76171875" style="11" customWidth="1"/>
    <col min="13595" max="13824" width="9.16796875" style="11" customWidth="1"/>
    <col min="13825" max="13826" width="4.44921875" style="11" customWidth="1"/>
    <col min="13827" max="13827" width="0" style="11" hidden="1" customWidth="1"/>
    <col min="13828" max="13828" width="4.44921875" style="11" customWidth="1"/>
    <col min="13829" max="13829" width="0" style="11" hidden="1" customWidth="1"/>
    <col min="13830" max="13830" width="3.50390625" style="11" customWidth="1"/>
    <col min="13831" max="13831" width="6.3359375" style="11" customWidth="1"/>
    <col min="13832" max="13833" width="2.96484375" style="11" customWidth="1"/>
    <col min="13834" max="13834" width="4.58203125" style="11" customWidth="1"/>
    <col min="13835" max="13835" width="1.88671875" style="11" customWidth="1"/>
    <col min="13836" max="13836" width="4.98828125" style="11" customWidth="1"/>
    <col min="13837" max="13837" width="4.8515625" style="11" customWidth="1"/>
    <col min="13838" max="13840" width="3.234375" style="11" customWidth="1"/>
    <col min="13841" max="13842" width="4.04296875" style="11" customWidth="1"/>
    <col min="13843" max="13845" width="3.91015625" style="11" customWidth="1"/>
    <col min="13846" max="13847" width="10.65234375" style="11" customWidth="1"/>
    <col min="13848" max="13849" width="3.234375" style="11" customWidth="1"/>
    <col min="13850" max="13850" width="8.76171875" style="11" customWidth="1"/>
    <col min="13851" max="14080" width="9.16796875" style="11" customWidth="1"/>
    <col min="14081" max="14082" width="4.44921875" style="11" customWidth="1"/>
    <col min="14083" max="14083" width="0" style="11" hidden="1" customWidth="1"/>
    <col min="14084" max="14084" width="4.44921875" style="11" customWidth="1"/>
    <col min="14085" max="14085" width="0" style="11" hidden="1" customWidth="1"/>
    <col min="14086" max="14086" width="3.50390625" style="11" customWidth="1"/>
    <col min="14087" max="14087" width="6.3359375" style="11" customWidth="1"/>
    <col min="14088" max="14089" width="2.96484375" style="11" customWidth="1"/>
    <col min="14090" max="14090" width="4.58203125" style="11" customWidth="1"/>
    <col min="14091" max="14091" width="1.88671875" style="11" customWidth="1"/>
    <col min="14092" max="14092" width="4.98828125" style="11" customWidth="1"/>
    <col min="14093" max="14093" width="4.8515625" style="11" customWidth="1"/>
    <col min="14094" max="14096" width="3.234375" style="11" customWidth="1"/>
    <col min="14097" max="14098" width="4.04296875" style="11" customWidth="1"/>
    <col min="14099" max="14101" width="3.91015625" style="11" customWidth="1"/>
    <col min="14102" max="14103" width="10.65234375" style="11" customWidth="1"/>
    <col min="14104" max="14105" width="3.234375" style="11" customWidth="1"/>
    <col min="14106" max="14106" width="8.76171875" style="11" customWidth="1"/>
    <col min="14107" max="14336" width="9.16796875" style="11" customWidth="1"/>
    <col min="14337" max="14338" width="4.44921875" style="11" customWidth="1"/>
    <col min="14339" max="14339" width="0" style="11" hidden="1" customWidth="1"/>
    <col min="14340" max="14340" width="4.44921875" style="11" customWidth="1"/>
    <col min="14341" max="14341" width="0" style="11" hidden="1" customWidth="1"/>
    <col min="14342" max="14342" width="3.50390625" style="11" customWidth="1"/>
    <col min="14343" max="14343" width="6.3359375" style="11" customWidth="1"/>
    <col min="14344" max="14345" width="2.96484375" style="11" customWidth="1"/>
    <col min="14346" max="14346" width="4.58203125" style="11" customWidth="1"/>
    <col min="14347" max="14347" width="1.88671875" style="11" customWidth="1"/>
    <col min="14348" max="14348" width="4.98828125" style="11" customWidth="1"/>
    <col min="14349" max="14349" width="4.8515625" style="11" customWidth="1"/>
    <col min="14350" max="14352" width="3.234375" style="11" customWidth="1"/>
    <col min="14353" max="14354" width="4.04296875" style="11" customWidth="1"/>
    <col min="14355" max="14357" width="3.91015625" style="11" customWidth="1"/>
    <col min="14358" max="14359" width="10.65234375" style="11" customWidth="1"/>
    <col min="14360" max="14361" width="3.234375" style="11" customWidth="1"/>
    <col min="14362" max="14362" width="8.76171875" style="11" customWidth="1"/>
    <col min="14363" max="14592" width="9.16796875" style="11" customWidth="1"/>
    <col min="14593" max="14594" width="4.44921875" style="11" customWidth="1"/>
    <col min="14595" max="14595" width="0" style="11" hidden="1" customWidth="1"/>
    <col min="14596" max="14596" width="4.44921875" style="11" customWidth="1"/>
    <col min="14597" max="14597" width="0" style="11" hidden="1" customWidth="1"/>
    <col min="14598" max="14598" width="3.50390625" style="11" customWidth="1"/>
    <col min="14599" max="14599" width="6.3359375" style="11" customWidth="1"/>
    <col min="14600" max="14601" width="2.96484375" style="11" customWidth="1"/>
    <col min="14602" max="14602" width="4.58203125" style="11" customWidth="1"/>
    <col min="14603" max="14603" width="1.88671875" style="11" customWidth="1"/>
    <col min="14604" max="14604" width="4.98828125" style="11" customWidth="1"/>
    <col min="14605" max="14605" width="4.8515625" style="11" customWidth="1"/>
    <col min="14606" max="14608" width="3.234375" style="11" customWidth="1"/>
    <col min="14609" max="14610" width="4.04296875" style="11" customWidth="1"/>
    <col min="14611" max="14613" width="3.91015625" style="11" customWidth="1"/>
    <col min="14614" max="14615" width="10.65234375" style="11" customWidth="1"/>
    <col min="14616" max="14617" width="3.234375" style="11" customWidth="1"/>
    <col min="14618" max="14618" width="8.76171875" style="11" customWidth="1"/>
    <col min="14619" max="14848" width="9.16796875" style="11" customWidth="1"/>
    <col min="14849" max="14850" width="4.44921875" style="11" customWidth="1"/>
    <col min="14851" max="14851" width="0" style="11" hidden="1" customWidth="1"/>
    <col min="14852" max="14852" width="4.44921875" style="11" customWidth="1"/>
    <col min="14853" max="14853" width="0" style="11" hidden="1" customWidth="1"/>
    <col min="14854" max="14854" width="3.50390625" style="11" customWidth="1"/>
    <col min="14855" max="14855" width="6.3359375" style="11" customWidth="1"/>
    <col min="14856" max="14857" width="2.96484375" style="11" customWidth="1"/>
    <col min="14858" max="14858" width="4.58203125" style="11" customWidth="1"/>
    <col min="14859" max="14859" width="1.88671875" style="11" customWidth="1"/>
    <col min="14860" max="14860" width="4.98828125" style="11" customWidth="1"/>
    <col min="14861" max="14861" width="4.8515625" style="11" customWidth="1"/>
    <col min="14862" max="14864" width="3.234375" style="11" customWidth="1"/>
    <col min="14865" max="14866" width="4.04296875" style="11" customWidth="1"/>
    <col min="14867" max="14869" width="3.91015625" style="11" customWidth="1"/>
    <col min="14870" max="14871" width="10.65234375" style="11" customWidth="1"/>
    <col min="14872" max="14873" width="3.234375" style="11" customWidth="1"/>
    <col min="14874" max="14874" width="8.76171875" style="11" customWidth="1"/>
    <col min="14875" max="15104" width="9.16796875" style="11" customWidth="1"/>
    <col min="15105" max="15106" width="4.44921875" style="11" customWidth="1"/>
    <col min="15107" max="15107" width="0" style="11" hidden="1" customWidth="1"/>
    <col min="15108" max="15108" width="4.44921875" style="11" customWidth="1"/>
    <col min="15109" max="15109" width="0" style="11" hidden="1" customWidth="1"/>
    <col min="15110" max="15110" width="3.50390625" style="11" customWidth="1"/>
    <col min="15111" max="15111" width="6.3359375" style="11" customWidth="1"/>
    <col min="15112" max="15113" width="2.96484375" style="11" customWidth="1"/>
    <col min="15114" max="15114" width="4.58203125" style="11" customWidth="1"/>
    <col min="15115" max="15115" width="1.88671875" style="11" customWidth="1"/>
    <col min="15116" max="15116" width="4.98828125" style="11" customWidth="1"/>
    <col min="15117" max="15117" width="4.8515625" style="11" customWidth="1"/>
    <col min="15118" max="15120" width="3.234375" style="11" customWidth="1"/>
    <col min="15121" max="15122" width="4.04296875" style="11" customWidth="1"/>
    <col min="15123" max="15125" width="3.91015625" style="11" customWidth="1"/>
    <col min="15126" max="15127" width="10.65234375" style="11" customWidth="1"/>
    <col min="15128" max="15129" width="3.234375" style="11" customWidth="1"/>
    <col min="15130" max="15130" width="8.76171875" style="11" customWidth="1"/>
    <col min="15131" max="15360" width="9.16796875" style="11" customWidth="1"/>
    <col min="15361" max="15362" width="4.44921875" style="11" customWidth="1"/>
    <col min="15363" max="15363" width="0" style="11" hidden="1" customWidth="1"/>
    <col min="15364" max="15364" width="4.44921875" style="11" customWidth="1"/>
    <col min="15365" max="15365" width="0" style="11" hidden="1" customWidth="1"/>
    <col min="15366" max="15366" width="3.50390625" style="11" customWidth="1"/>
    <col min="15367" max="15367" width="6.3359375" style="11" customWidth="1"/>
    <col min="15368" max="15369" width="2.96484375" style="11" customWidth="1"/>
    <col min="15370" max="15370" width="4.58203125" style="11" customWidth="1"/>
    <col min="15371" max="15371" width="1.88671875" style="11" customWidth="1"/>
    <col min="15372" max="15372" width="4.98828125" style="11" customWidth="1"/>
    <col min="15373" max="15373" width="4.8515625" style="11" customWidth="1"/>
    <col min="15374" max="15376" width="3.234375" style="11" customWidth="1"/>
    <col min="15377" max="15378" width="4.04296875" style="11" customWidth="1"/>
    <col min="15379" max="15381" width="3.91015625" style="11" customWidth="1"/>
    <col min="15382" max="15383" width="10.65234375" style="11" customWidth="1"/>
    <col min="15384" max="15385" width="3.234375" style="11" customWidth="1"/>
    <col min="15386" max="15386" width="8.76171875" style="11" customWidth="1"/>
    <col min="15387" max="15616" width="9.16796875" style="11" customWidth="1"/>
    <col min="15617" max="15618" width="4.44921875" style="11" customWidth="1"/>
    <col min="15619" max="15619" width="0" style="11" hidden="1" customWidth="1"/>
    <col min="15620" max="15620" width="4.44921875" style="11" customWidth="1"/>
    <col min="15621" max="15621" width="0" style="11" hidden="1" customWidth="1"/>
    <col min="15622" max="15622" width="3.50390625" style="11" customWidth="1"/>
    <col min="15623" max="15623" width="6.3359375" style="11" customWidth="1"/>
    <col min="15624" max="15625" width="2.96484375" style="11" customWidth="1"/>
    <col min="15626" max="15626" width="4.58203125" style="11" customWidth="1"/>
    <col min="15627" max="15627" width="1.88671875" style="11" customWidth="1"/>
    <col min="15628" max="15628" width="4.98828125" style="11" customWidth="1"/>
    <col min="15629" max="15629" width="4.8515625" style="11" customWidth="1"/>
    <col min="15630" max="15632" width="3.234375" style="11" customWidth="1"/>
    <col min="15633" max="15634" width="4.04296875" style="11" customWidth="1"/>
    <col min="15635" max="15637" width="3.91015625" style="11" customWidth="1"/>
    <col min="15638" max="15639" width="10.65234375" style="11" customWidth="1"/>
    <col min="15640" max="15641" width="3.234375" style="11" customWidth="1"/>
    <col min="15642" max="15642" width="8.76171875" style="11" customWidth="1"/>
    <col min="15643" max="15872" width="9.16796875" style="11" customWidth="1"/>
    <col min="15873" max="15874" width="4.44921875" style="11" customWidth="1"/>
    <col min="15875" max="15875" width="0" style="11" hidden="1" customWidth="1"/>
    <col min="15876" max="15876" width="4.44921875" style="11" customWidth="1"/>
    <col min="15877" max="15877" width="0" style="11" hidden="1" customWidth="1"/>
    <col min="15878" max="15878" width="3.50390625" style="11" customWidth="1"/>
    <col min="15879" max="15879" width="6.3359375" style="11" customWidth="1"/>
    <col min="15880" max="15881" width="2.96484375" style="11" customWidth="1"/>
    <col min="15882" max="15882" width="4.58203125" style="11" customWidth="1"/>
    <col min="15883" max="15883" width="1.88671875" style="11" customWidth="1"/>
    <col min="15884" max="15884" width="4.98828125" style="11" customWidth="1"/>
    <col min="15885" max="15885" width="4.8515625" style="11" customWidth="1"/>
    <col min="15886" max="15888" width="3.234375" style="11" customWidth="1"/>
    <col min="15889" max="15890" width="4.04296875" style="11" customWidth="1"/>
    <col min="15891" max="15893" width="3.91015625" style="11" customWidth="1"/>
    <col min="15894" max="15895" width="10.65234375" style="11" customWidth="1"/>
    <col min="15896" max="15897" width="3.234375" style="11" customWidth="1"/>
    <col min="15898" max="15898" width="8.76171875" style="11" customWidth="1"/>
    <col min="15899" max="16128" width="9.16796875" style="11" customWidth="1"/>
    <col min="16129" max="16130" width="4.44921875" style="11" customWidth="1"/>
    <col min="16131" max="16131" width="0" style="11" hidden="1" customWidth="1"/>
    <col min="16132" max="16132" width="4.44921875" style="11" customWidth="1"/>
    <col min="16133" max="16133" width="0" style="11" hidden="1" customWidth="1"/>
    <col min="16134" max="16134" width="3.50390625" style="11" customWidth="1"/>
    <col min="16135" max="16135" width="6.3359375" style="11" customWidth="1"/>
    <col min="16136" max="16137" width="2.96484375" style="11" customWidth="1"/>
    <col min="16138" max="16138" width="4.58203125" style="11" customWidth="1"/>
    <col min="16139" max="16139" width="1.88671875" style="11" customWidth="1"/>
    <col min="16140" max="16140" width="4.98828125" style="11" customWidth="1"/>
    <col min="16141" max="16141" width="4.8515625" style="11" customWidth="1"/>
    <col min="16142" max="16144" width="3.234375" style="11" customWidth="1"/>
    <col min="16145" max="16146" width="4.04296875" style="11" customWidth="1"/>
    <col min="16147" max="16149" width="3.91015625" style="11" customWidth="1"/>
    <col min="16150" max="16151" width="10.65234375" style="11" customWidth="1"/>
    <col min="16152" max="16153" width="3.234375" style="11" customWidth="1"/>
    <col min="16154" max="16154" width="8.76171875" style="11" customWidth="1"/>
    <col min="16155" max="16384" width="9.16796875" style="11" customWidth="1"/>
  </cols>
  <sheetData>
    <row r="1" spans="1:33" ht="19.5" customHeight="1" x14ac:dyDescent="0.15">
      <c r="A1" s="472" t="s">
        <v>10</v>
      </c>
      <c r="B1" s="472"/>
      <c r="C1" s="472"/>
      <c r="D1" s="472"/>
      <c r="E1" s="472"/>
      <c r="F1" s="9"/>
      <c r="G1" s="473" t="s">
        <v>11</v>
      </c>
      <c r="H1" s="473"/>
      <c r="I1" s="474" t="str">
        <f>IF(ISBLANK(Wagenliste!M2),"",Wagenliste!M2)</f>
        <v/>
      </c>
      <c r="J1" s="474"/>
      <c r="K1" s="474"/>
      <c r="L1" s="474"/>
      <c r="M1" s="474"/>
      <c r="N1" s="474"/>
      <c r="O1" s="9"/>
      <c r="P1" s="473" t="s">
        <v>12</v>
      </c>
      <c r="Q1" s="473"/>
      <c r="R1" s="475" t="str">
        <f>IF(ISBLANK(Wagenliste!A42),"",Wagenliste!A42)</f>
        <v>28. 02 2026</v>
      </c>
      <c r="S1" s="475"/>
      <c r="T1" s="475"/>
      <c r="U1" s="475"/>
      <c r="V1" s="10" t="s">
        <v>13</v>
      </c>
      <c r="W1" s="476" t="str">
        <f>IF(ISBLANK(Wagenliste!P2),"",Wagenliste!P2)</f>
        <v>EGBK</v>
      </c>
      <c r="X1" s="476"/>
      <c r="Y1" s="476"/>
      <c r="Z1" s="476"/>
    </row>
    <row r="2" spans="1:33" ht="19.5" customHeight="1" x14ac:dyDescent="0.15">
      <c r="A2" s="12" t="s">
        <v>14</v>
      </c>
      <c r="B2" s="9"/>
      <c r="C2" s="9"/>
      <c r="D2" s="9"/>
      <c r="E2" s="9"/>
      <c r="F2" s="9"/>
      <c r="G2" s="473" t="s">
        <v>11</v>
      </c>
      <c r="H2" s="473"/>
      <c r="I2" s="481"/>
      <c r="J2" s="481"/>
      <c r="K2" s="481"/>
      <c r="L2" s="481"/>
      <c r="M2" s="481"/>
      <c r="N2" s="481"/>
      <c r="O2" s="9"/>
      <c r="P2" s="473" t="s">
        <v>12</v>
      </c>
      <c r="Q2" s="473"/>
      <c r="R2" s="482"/>
      <c r="S2" s="482"/>
      <c r="T2" s="482"/>
      <c r="U2" s="482"/>
      <c r="V2" s="10" t="s">
        <v>13</v>
      </c>
      <c r="W2" s="483"/>
      <c r="X2" s="483"/>
      <c r="Y2" s="483"/>
      <c r="Z2" s="483"/>
      <c r="AB2" s="13"/>
      <c r="AC2" s="13"/>
      <c r="AD2" s="13"/>
      <c r="AE2" s="13"/>
      <c r="AF2" s="13"/>
      <c r="AG2" s="13"/>
    </row>
    <row r="3" spans="1:33" ht="19.5" customHeight="1" x14ac:dyDescent="0.15">
      <c r="A3" s="14"/>
      <c r="B3" s="9"/>
      <c r="C3" s="9"/>
      <c r="D3" s="9"/>
      <c r="E3" s="9"/>
      <c r="F3" s="9"/>
      <c r="G3" s="473" t="s">
        <v>11</v>
      </c>
      <c r="H3" s="473"/>
      <c r="I3" s="481"/>
      <c r="J3" s="481"/>
      <c r="K3" s="481"/>
      <c r="L3" s="481"/>
      <c r="M3" s="481"/>
      <c r="N3" s="481"/>
      <c r="O3" s="9"/>
      <c r="P3" s="473" t="s">
        <v>12</v>
      </c>
      <c r="Q3" s="473"/>
      <c r="R3" s="484"/>
      <c r="S3" s="484"/>
      <c r="T3" s="484"/>
      <c r="U3" s="484"/>
      <c r="V3" s="10" t="s">
        <v>13</v>
      </c>
      <c r="W3" s="485"/>
      <c r="X3" s="485"/>
      <c r="Y3" s="485"/>
      <c r="Z3" s="485"/>
    </row>
    <row r="4" spans="1:33" ht="8.25" customHeight="1" x14ac:dyDescent="0.1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33" ht="13.5" x14ac:dyDescent="0.15">
      <c r="A5" s="477" t="s">
        <v>15</v>
      </c>
      <c r="B5" s="478"/>
      <c r="C5" s="478"/>
      <c r="D5" s="478"/>
      <c r="E5" s="479"/>
      <c r="F5" s="480" t="s">
        <v>16</v>
      </c>
      <c r="G5" s="480"/>
      <c r="H5" s="477" t="s">
        <v>17</v>
      </c>
      <c r="I5" s="478"/>
      <c r="J5" s="478"/>
      <c r="K5" s="478"/>
      <c r="L5" s="478"/>
      <c r="M5" s="478"/>
      <c r="N5" s="478"/>
      <c r="O5" s="478"/>
      <c r="P5" s="478"/>
      <c r="Q5" s="478"/>
      <c r="R5" s="478"/>
      <c r="S5" s="478"/>
      <c r="T5" s="479"/>
      <c r="U5" s="480" t="s">
        <v>18</v>
      </c>
      <c r="V5" s="480"/>
      <c r="W5" s="480" t="s">
        <v>19</v>
      </c>
      <c r="X5" s="480"/>
      <c r="Y5" s="480" t="s">
        <v>20</v>
      </c>
      <c r="Z5" s="480"/>
    </row>
    <row r="6" spans="1:33" ht="14.25" customHeight="1" x14ac:dyDescent="0.15">
      <c r="A6" s="498"/>
      <c r="B6" s="499"/>
      <c r="C6" s="499"/>
      <c r="D6" s="499"/>
      <c r="E6" s="500"/>
      <c r="F6" s="504" t="s">
        <v>21</v>
      </c>
      <c r="G6" s="505"/>
      <c r="H6" s="504" t="s">
        <v>22</v>
      </c>
      <c r="I6" s="508"/>
      <c r="J6" s="508"/>
      <c r="K6" s="508"/>
      <c r="L6" s="508"/>
      <c r="M6" s="508"/>
      <c r="N6" s="508"/>
      <c r="O6" s="508"/>
      <c r="P6" s="508"/>
      <c r="Q6" s="508"/>
      <c r="R6" s="508"/>
      <c r="S6" s="508"/>
      <c r="T6" s="505"/>
      <c r="U6" s="504" t="s">
        <v>23</v>
      </c>
      <c r="V6" s="505"/>
      <c r="W6" s="510" t="s">
        <v>24</v>
      </c>
      <c r="X6" s="511"/>
      <c r="Y6" s="504" t="s">
        <v>25</v>
      </c>
      <c r="Z6" s="505"/>
    </row>
    <row r="7" spans="1:33" ht="19.5" customHeight="1" thickBot="1" x14ac:dyDescent="0.2">
      <c r="A7" s="501"/>
      <c r="B7" s="502"/>
      <c r="C7" s="502"/>
      <c r="D7" s="502"/>
      <c r="E7" s="503"/>
      <c r="F7" s="506"/>
      <c r="G7" s="507"/>
      <c r="H7" s="506"/>
      <c r="I7" s="509"/>
      <c r="J7" s="509"/>
      <c r="K7" s="509"/>
      <c r="L7" s="509"/>
      <c r="M7" s="509"/>
      <c r="N7" s="509"/>
      <c r="O7" s="509"/>
      <c r="P7" s="509"/>
      <c r="Q7" s="509"/>
      <c r="R7" s="509"/>
      <c r="S7" s="509"/>
      <c r="T7" s="507"/>
      <c r="U7" s="506"/>
      <c r="V7" s="507"/>
      <c r="W7" s="512" t="s">
        <v>26</v>
      </c>
      <c r="X7" s="513"/>
      <c r="Y7" s="506"/>
      <c r="Z7" s="507"/>
      <c r="AB7" s="121"/>
    </row>
    <row r="8" spans="1:33" ht="19.5" customHeight="1" x14ac:dyDescent="0.15">
      <c r="A8" s="486" t="s">
        <v>27</v>
      </c>
      <c r="B8" s="487"/>
      <c r="C8" s="487"/>
      <c r="D8" s="487"/>
      <c r="E8" s="488"/>
      <c r="F8" s="489" t="s">
        <v>15</v>
      </c>
      <c r="G8" s="490"/>
      <c r="H8" s="491" t="s">
        <v>28</v>
      </c>
      <c r="I8" s="492"/>
      <c r="J8" s="492"/>
      <c r="K8" s="492"/>
      <c r="L8" s="492"/>
      <c r="M8" s="492"/>
      <c r="N8" s="492"/>
      <c r="O8" s="492"/>
      <c r="P8" s="492"/>
      <c r="Q8" s="492"/>
      <c r="R8" s="492"/>
      <c r="S8" s="492"/>
      <c r="T8" s="493"/>
      <c r="U8" s="476">
        <f>Wagenliste!J37</f>
        <v>90</v>
      </c>
      <c r="V8" s="476"/>
      <c r="W8" s="494"/>
      <c r="X8" s="495"/>
      <c r="Y8" s="496"/>
      <c r="Z8" s="497"/>
    </row>
    <row r="9" spans="1:33" ht="19.5" customHeight="1" x14ac:dyDescent="0.15">
      <c r="A9" s="514" t="s">
        <v>29</v>
      </c>
      <c r="B9" s="515"/>
      <c r="C9" s="515"/>
      <c r="D9" s="515"/>
      <c r="E9" s="516"/>
      <c r="F9" s="480" t="s">
        <v>16</v>
      </c>
      <c r="G9" s="480"/>
      <c r="H9" s="517" t="s">
        <v>30</v>
      </c>
      <c r="I9" s="518"/>
      <c r="J9" s="518"/>
      <c r="K9" s="518"/>
      <c r="L9" s="518"/>
      <c r="M9" s="518"/>
      <c r="N9" s="518"/>
      <c r="O9" s="518"/>
      <c r="P9" s="518"/>
      <c r="Q9" s="518"/>
      <c r="R9" s="518"/>
      <c r="S9" s="518"/>
      <c r="T9" s="519"/>
      <c r="U9" s="476">
        <f>Wagenliste!L40</f>
        <v>1107.5</v>
      </c>
      <c r="V9" s="476"/>
      <c r="W9" s="520"/>
      <c r="X9" s="521"/>
      <c r="Y9" s="496"/>
      <c r="Z9" s="497"/>
    </row>
    <row r="10" spans="1:33" ht="19.5" customHeight="1" x14ac:dyDescent="0.15">
      <c r="A10" s="514" t="s">
        <v>31</v>
      </c>
      <c r="B10" s="515"/>
      <c r="C10" s="515"/>
      <c r="D10" s="515"/>
      <c r="E10" s="516"/>
      <c r="F10" s="480" t="s">
        <v>17</v>
      </c>
      <c r="G10" s="480"/>
      <c r="H10" s="517" t="s">
        <v>32</v>
      </c>
      <c r="I10" s="518"/>
      <c r="J10" s="518"/>
      <c r="K10" s="518"/>
      <c r="L10" s="518"/>
      <c r="M10" s="518"/>
      <c r="N10" s="518"/>
      <c r="O10" s="518"/>
      <c r="P10" s="518"/>
      <c r="Q10" s="518"/>
      <c r="R10" s="518"/>
      <c r="S10" s="518"/>
      <c r="T10" s="519"/>
      <c r="U10" s="476">
        <f>Wagenliste!$G$37</f>
        <v>80</v>
      </c>
      <c r="V10" s="476"/>
      <c r="W10" s="520"/>
      <c r="X10" s="521"/>
      <c r="Y10" s="496"/>
      <c r="Z10" s="497"/>
    </row>
    <row r="11" spans="1:33" ht="19.5" customHeight="1" x14ac:dyDescent="0.15">
      <c r="A11" s="514" t="s">
        <v>33</v>
      </c>
      <c r="B11" s="515"/>
      <c r="C11" s="515"/>
      <c r="D11" s="515"/>
      <c r="E11" s="516"/>
      <c r="F11" s="480" t="s">
        <v>18</v>
      </c>
      <c r="G11" s="480"/>
      <c r="H11" s="517" t="s">
        <v>34</v>
      </c>
      <c r="I11" s="518"/>
      <c r="J11" s="518"/>
      <c r="K11" s="518"/>
      <c r="L11" s="518"/>
      <c r="M11" s="518"/>
      <c r="N11" s="518"/>
      <c r="O11" s="518"/>
      <c r="P11" s="518"/>
      <c r="Q11" s="518"/>
      <c r="R11" s="518"/>
      <c r="S11" s="518"/>
      <c r="T11" s="519"/>
      <c r="U11" s="530"/>
      <c r="V11" s="531"/>
      <c r="W11" s="530"/>
      <c r="X11" s="531"/>
      <c r="Y11" s="520"/>
      <c r="Z11" s="521"/>
    </row>
    <row r="12" spans="1:33" ht="19.5" customHeight="1" x14ac:dyDescent="0.15">
      <c r="A12" s="536"/>
      <c r="B12" s="537"/>
      <c r="C12" s="537"/>
      <c r="D12" s="537"/>
      <c r="E12" s="538"/>
      <c r="F12" s="539" t="s">
        <v>19</v>
      </c>
      <c r="G12" s="540"/>
      <c r="H12" s="543" t="s">
        <v>35</v>
      </c>
      <c r="I12" s="544"/>
      <c r="J12" s="544"/>
      <c r="K12" s="544"/>
      <c r="L12" s="544"/>
      <c r="M12" s="544"/>
      <c r="N12" s="545" t="s">
        <v>36</v>
      </c>
      <c r="O12" s="545"/>
      <c r="P12" s="545"/>
      <c r="Q12" s="545"/>
      <c r="R12" s="545"/>
      <c r="S12" s="545"/>
      <c r="T12" s="546"/>
      <c r="U12" s="532"/>
      <c r="V12" s="533"/>
      <c r="W12" s="532"/>
      <c r="X12" s="533"/>
      <c r="Y12" s="522"/>
      <c r="Z12" s="523"/>
    </row>
    <row r="13" spans="1:33" ht="19.5" customHeight="1" x14ac:dyDescent="0.15">
      <c r="A13" s="536"/>
      <c r="B13" s="537"/>
      <c r="C13" s="537"/>
      <c r="D13" s="537"/>
      <c r="E13" s="538"/>
      <c r="F13" s="541"/>
      <c r="G13" s="542"/>
      <c r="H13" s="524" t="s">
        <v>37</v>
      </c>
      <c r="I13" s="525"/>
      <c r="J13" s="525"/>
      <c r="K13" s="525"/>
      <c r="L13" s="525"/>
      <c r="M13" s="525"/>
      <c r="N13" s="526" t="s">
        <v>38</v>
      </c>
      <c r="O13" s="526"/>
      <c r="P13" s="526"/>
      <c r="Q13" s="526"/>
      <c r="R13" s="526"/>
      <c r="S13" s="526"/>
      <c r="T13" s="527"/>
      <c r="U13" s="532"/>
      <c r="V13" s="533"/>
      <c r="W13" s="532"/>
      <c r="X13" s="533"/>
      <c r="Y13" s="496"/>
      <c r="Z13" s="497"/>
    </row>
    <row r="14" spans="1:33" ht="19.5" customHeight="1" x14ac:dyDescent="0.15">
      <c r="A14" s="536"/>
      <c r="B14" s="537"/>
      <c r="C14" s="537"/>
      <c r="D14" s="537"/>
      <c r="E14" s="538"/>
      <c r="F14" s="477" t="s">
        <v>20</v>
      </c>
      <c r="G14" s="479"/>
      <c r="H14" s="517" t="s">
        <v>39</v>
      </c>
      <c r="I14" s="518"/>
      <c r="J14" s="518"/>
      <c r="K14" s="518"/>
      <c r="L14" s="518"/>
      <c r="M14" s="518"/>
      <c r="N14" s="518"/>
      <c r="O14" s="518"/>
      <c r="P14" s="518"/>
      <c r="Q14" s="518"/>
      <c r="R14" s="518"/>
      <c r="S14" s="518"/>
      <c r="T14" s="519"/>
      <c r="U14" s="534"/>
      <c r="V14" s="535"/>
      <c r="W14" s="534"/>
      <c r="X14" s="535"/>
      <c r="Y14" s="528"/>
      <c r="Z14" s="529"/>
    </row>
    <row r="15" spans="1:33" ht="19.5" customHeight="1" x14ac:dyDescent="0.15">
      <c r="A15" s="536"/>
      <c r="B15" s="537"/>
      <c r="C15" s="537"/>
      <c r="D15" s="537"/>
      <c r="E15" s="538"/>
      <c r="F15" s="477" t="s">
        <v>40</v>
      </c>
      <c r="G15" s="479"/>
      <c r="H15" s="517" t="s">
        <v>41</v>
      </c>
      <c r="I15" s="518"/>
      <c r="J15" s="518"/>
      <c r="K15" s="518"/>
      <c r="L15" s="518"/>
      <c r="M15" s="518"/>
      <c r="N15" s="518"/>
      <c r="O15" s="518"/>
      <c r="P15" s="518"/>
      <c r="Q15" s="518"/>
      <c r="R15" s="518"/>
      <c r="S15" s="518"/>
      <c r="T15" s="519"/>
      <c r="U15" s="520">
        <f>'WU Protokoll'!I29</f>
        <v>378079297701</v>
      </c>
      <c r="V15" s="547"/>
      <c r="W15" s="547"/>
      <c r="X15" s="547"/>
      <c r="Y15" s="547"/>
      <c r="Z15" s="521"/>
    </row>
    <row r="16" spans="1:33" ht="19.5" customHeight="1" x14ac:dyDescent="0.15">
      <c r="A16" s="536"/>
      <c r="B16" s="537"/>
      <c r="C16" s="537"/>
      <c r="D16" s="537"/>
      <c r="E16" s="538"/>
      <c r="F16" s="477" t="s">
        <v>42</v>
      </c>
      <c r="G16" s="479"/>
      <c r="H16" s="524" t="s">
        <v>43</v>
      </c>
      <c r="I16" s="525"/>
      <c r="J16" s="525"/>
      <c r="K16" s="525"/>
      <c r="L16" s="525"/>
      <c r="M16" s="525"/>
      <c r="N16" s="525"/>
      <c r="O16" s="525"/>
      <c r="P16" s="525"/>
      <c r="Q16" s="525"/>
      <c r="R16" s="525"/>
      <c r="S16" s="525"/>
      <c r="T16" s="548"/>
      <c r="U16" s="494">
        <v>0</v>
      </c>
      <c r="V16" s="495"/>
      <c r="W16" s="15"/>
      <c r="X16" s="16"/>
      <c r="Y16" s="16"/>
      <c r="Z16" s="17"/>
    </row>
    <row r="17" spans="1:26" ht="19.5" customHeight="1" x14ac:dyDescent="0.15">
      <c r="A17" s="536"/>
      <c r="B17" s="537"/>
      <c r="C17" s="537"/>
      <c r="D17" s="537"/>
      <c r="E17" s="538"/>
      <c r="F17" s="477" t="s">
        <v>44</v>
      </c>
      <c r="G17" s="479"/>
      <c r="H17" s="517" t="s">
        <v>45</v>
      </c>
      <c r="I17" s="518"/>
      <c r="J17" s="518"/>
      <c r="K17" s="518"/>
      <c r="L17" s="518"/>
      <c r="M17" s="518"/>
      <c r="N17" s="518"/>
      <c r="O17" s="518"/>
      <c r="P17" s="518"/>
      <c r="Q17" s="518"/>
      <c r="R17" s="518"/>
      <c r="S17" s="518"/>
      <c r="T17" s="519"/>
      <c r="U17" s="476">
        <f>Wagenliste!B37</f>
        <v>20</v>
      </c>
      <c r="V17" s="476"/>
      <c r="W17" s="15"/>
      <c r="X17" s="16"/>
      <c r="Y17" s="16"/>
      <c r="Z17" s="17"/>
    </row>
    <row r="18" spans="1:26" ht="19.5" customHeight="1" x14ac:dyDescent="0.15">
      <c r="A18" s="536"/>
      <c r="B18" s="537"/>
      <c r="C18" s="537"/>
      <c r="D18" s="537"/>
      <c r="E18" s="538"/>
      <c r="F18" s="477" t="s">
        <v>46</v>
      </c>
      <c r="G18" s="479"/>
      <c r="H18" s="517" t="s">
        <v>47</v>
      </c>
      <c r="I18" s="518"/>
      <c r="J18" s="518"/>
      <c r="K18" s="518"/>
      <c r="L18" s="518"/>
      <c r="M18" s="518"/>
      <c r="N18" s="518"/>
      <c r="O18" s="518"/>
      <c r="P18" s="518"/>
      <c r="Q18" s="518"/>
      <c r="R18" s="518"/>
      <c r="S18" s="518"/>
      <c r="T18" s="519"/>
      <c r="U18" s="520">
        <v>0</v>
      </c>
      <c r="V18" s="521"/>
      <c r="W18" s="15"/>
      <c r="X18" s="16"/>
      <c r="Y18" s="16"/>
      <c r="Z18" s="17"/>
    </row>
    <row r="19" spans="1:26" ht="19.5" customHeight="1" x14ac:dyDescent="0.15">
      <c r="A19" s="536"/>
      <c r="B19" s="537"/>
      <c r="C19" s="537"/>
      <c r="D19" s="537"/>
      <c r="E19" s="538"/>
      <c r="F19" s="477" t="s">
        <v>48</v>
      </c>
      <c r="G19" s="479"/>
      <c r="H19" s="517" t="s">
        <v>49</v>
      </c>
      <c r="I19" s="518"/>
      <c r="J19" s="518"/>
      <c r="K19" s="518"/>
      <c r="L19" s="518"/>
      <c r="M19" s="518"/>
      <c r="N19" s="518"/>
      <c r="O19" s="518"/>
      <c r="P19" s="518"/>
      <c r="Q19" s="518"/>
      <c r="R19" s="518"/>
      <c r="S19" s="518"/>
      <c r="T19" s="519"/>
      <c r="U19" s="476">
        <f>Wagenliste!K37</f>
        <v>20</v>
      </c>
      <c r="V19" s="476"/>
      <c r="W19" s="15"/>
      <c r="X19" s="16"/>
      <c r="Y19" s="16"/>
      <c r="Z19" s="17"/>
    </row>
    <row r="20" spans="1:26" ht="19.5" customHeight="1" x14ac:dyDescent="0.15">
      <c r="A20" s="536"/>
      <c r="B20" s="537"/>
      <c r="C20" s="537"/>
      <c r="D20" s="537"/>
      <c r="E20" s="538"/>
      <c r="F20" s="477" t="s">
        <v>9</v>
      </c>
      <c r="G20" s="479"/>
      <c r="H20" s="517" t="s">
        <v>50</v>
      </c>
      <c r="I20" s="518"/>
      <c r="J20" s="518"/>
      <c r="K20" s="518"/>
      <c r="L20" s="518"/>
      <c r="M20" s="518"/>
      <c r="N20" s="518"/>
      <c r="O20" s="518"/>
      <c r="P20" s="518"/>
      <c r="Q20" s="518"/>
      <c r="R20" s="518"/>
      <c r="S20" s="518"/>
      <c r="T20" s="519"/>
      <c r="U20" s="520">
        <v>0</v>
      </c>
      <c r="V20" s="521"/>
      <c r="W20" s="15"/>
      <c r="X20" s="16"/>
      <c r="Y20" s="16"/>
      <c r="Z20" s="17"/>
    </row>
    <row r="21" spans="1:26" ht="19.5" customHeight="1" x14ac:dyDescent="0.15">
      <c r="A21" s="536"/>
      <c r="B21" s="537"/>
      <c r="C21" s="537"/>
      <c r="D21" s="537"/>
      <c r="E21" s="538"/>
      <c r="F21" s="477" t="s">
        <v>51</v>
      </c>
      <c r="G21" s="479"/>
      <c r="H21" s="517" t="s">
        <v>52</v>
      </c>
      <c r="I21" s="518"/>
      <c r="J21" s="518"/>
      <c r="K21" s="518"/>
      <c r="L21" s="518"/>
      <c r="M21" s="518"/>
      <c r="N21" s="518"/>
      <c r="O21" s="518"/>
      <c r="P21" s="518"/>
      <c r="Q21" s="518"/>
      <c r="R21" s="518"/>
      <c r="S21" s="518"/>
      <c r="T21" s="519"/>
      <c r="U21" s="476">
        <f>Wagenliste!H37</f>
        <v>330.22999999999996</v>
      </c>
      <c r="V21" s="476"/>
      <c r="W21" s="549"/>
      <c r="X21" s="550"/>
      <c r="Y21" s="528"/>
      <c r="Z21" s="529"/>
    </row>
    <row r="22" spans="1:26" ht="19.5" customHeight="1" x14ac:dyDescent="0.15">
      <c r="A22" s="536"/>
      <c r="B22" s="537"/>
      <c r="C22" s="537"/>
      <c r="D22" s="537"/>
      <c r="E22" s="538"/>
      <c r="F22" s="477" t="s">
        <v>53</v>
      </c>
      <c r="G22" s="479"/>
      <c r="H22" s="517" t="s">
        <v>54</v>
      </c>
      <c r="I22" s="518"/>
      <c r="J22" s="518"/>
      <c r="K22" s="518"/>
      <c r="L22" s="518"/>
      <c r="M22" s="518"/>
      <c r="N22" s="518"/>
      <c r="O22" s="518"/>
      <c r="P22" s="518"/>
      <c r="Q22" s="518"/>
      <c r="R22" s="518"/>
      <c r="S22" s="518"/>
      <c r="T22" s="519"/>
      <c r="U22" s="498"/>
      <c r="V22" s="500"/>
      <c r="W22" s="15"/>
      <c r="X22" s="16"/>
      <c r="Y22" s="16"/>
      <c r="Z22" s="17"/>
    </row>
    <row r="23" spans="1:26" ht="19.5" customHeight="1" x14ac:dyDescent="0.15">
      <c r="A23" s="536"/>
      <c r="B23" s="537"/>
      <c r="C23" s="537"/>
      <c r="D23" s="537"/>
      <c r="E23" s="538"/>
      <c r="F23" s="539" t="s">
        <v>55</v>
      </c>
      <c r="G23" s="540"/>
      <c r="H23" s="543" t="s">
        <v>56</v>
      </c>
      <c r="I23" s="544"/>
      <c r="J23" s="544"/>
      <c r="K23" s="544"/>
      <c r="L23" s="544"/>
      <c r="M23" s="544"/>
      <c r="N23" s="18"/>
      <c r="O23" s="551" t="s">
        <v>57</v>
      </c>
      <c r="P23" s="551"/>
      <c r="Q23" s="551"/>
      <c r="R23" s="551"/>
      <c r="S23" s="551"/>
      <c r="T23" s="19"/>
      <c r="U23" s="498"/>
      <c r="V23" s="500"/>
      <c r="W23" s="15"/>
      <c r="X23" s="16"/>
      <c r="Y23" s="16"/>
      <c r="Z23" s="17"/>
    </row>
    <row r="24" spans="1:26" ht="18.75" customHeight="1" x14ac:dyDescent="0.15">
      <c r="A24" s="536"/>
      <c r="B24" s="537"/>
      <c r="C24" s="537"/>
      <c r="D24" s="537"/>
      <c r="E24" s="538"/>
      <c r="F24" s="541"/>
      <c r="G24" s="542"/>
      <c r="H24" s="524" t="s">
        <v>58</v>
      </c>
      <c r="I24" s="525"/>
      <c r="J24" s="525"/>
      <c r="K24" s="525"/>
      <c r="L24" s="525"/>
      <c r="M24" s="525"/>
      <c r="N24" s="20"/>
      <c r="O24" s="552" t="s">
        <v>46</v>
      </c>
      <c r="P24" s="552"/>
      <c r="Q24" s="552"/>
      <c r="R24" s="552"/>
      <c r="S24" s="552"/>
      <c r="T24" s="21"/>
      <c r="U24" s="489"/>
      <c r="V24" s="490"/>
      <c r="W24" s="15"/>
      <c r="X24" s="16"/>
      <c r="Y24" s="16"/>
      <c r="Z24" s="17"/>
    </row>
    <row r="25" spans="1:26" ht="19.5" customHeight="1" x14ac:dyDescent="0.15">
      <c r="A25" s="536"/>
      <c r="B25" s="537"/>
      <c r="C25" s="537"/>
      <c r="D25" s="537"/>
      <c r="E25" s="538"/>
      <c r="F25" s="539" t="s">
        <v>59</v>
      </c>
      <c r="G25" s="540"/>
      <c r="H25" s="543" t="s">
        <v>60</v>
      </c>
      <c r="I25" s="544"/>
      <c r="J25" s="544"/>
      <c r="K25" s="544"/>
      <c r="L25" s="544"/>
      <c r="M25" s="544"/>
      <c r="N25" s="544"/>
      <c r="O25" s="544"/>
      <c r="P25" s="544"/>
      <c r="Q25" s="544"/>
      <c r="R25" s="544"/>
      <c r="S25" s="544"/>
      <c r="T25" s="567"/>
      <c r="U25" s="22"/>
      <c r="V25" s="19"/>
      <c r="W25" s="536"/>
      <c r="X25" s="595" t="s">
        <v>61</v>
      </c>
      <c r="Y25" s="537"/>
      <c r="Z25" s="538"/>
    </row>
    <row r="26" spans="1:26" ht="19.5" customHeight="1" x14ac:dyDescent="0.15">
      <c r="A26" s="536"/>
      <c r="B26" s="537"/>
      <c r="C26" s="537"/>
      <c r="D26" s="537"/>
      <c r="E26" s="538"/>
      <c r="F26" s="563"/>
      <c r="G26" s="564"/>
      <c r="H26" s="568" t="s">
        <v>62</v>
      </c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70"/>
      <c r="U26" s="536" t="s">
        <v>63</v>
      </c>
      <c r="V26" s="538"/>
      <c r="W26" s="536"/>
      <c r="X26" s="595"/>
      <c r="Y26" s="537"/>
      <c r="Z26" s="538"/>
    </row>
    <row r="27" spans="1:26" ht="19.5" customHeight="1" x14ac:dyDescent="0.15">
      <c r="A27" s="536"/>
      <c r="B27" s="537"/>
      <c r="C27" s="537"/>
      <c r="D27" s="537"/>
      <c r="E27" s="538"/>
      <c r="F27" s="563"/>
      <c r="G27" s="564"/>
      <c r="H27" s="568" t="s">
        <v>64</v>
      </c>
      <c r="I27" s="569"/>
      <c r="J27" s="569"/>
      <c r="K27" s="569"/>
      <c r="L27" s="569"/>
      <c r="M27" s="569"/>
      <c r="N27" s="569"/>
      <c r="O27" s="569"/>
      <c r="P27" s="569"/>
      <c r="Q27" s="569"/>
      <c r="R27" s="569"/>
      <c r="S27" s="569"/>
      <c r="T27" s="570"/>
      <c r="U27" s="23"/>
      <c r="V27" s="24"/>
      <c r="W27" s="536"/>
      <c r="X27" s="595"/>
      <c r="Y27" s="537"/>
      <c r="Z27" s="538"/>
    </row>
    <row r="28" spans="1:26" ht="19.5" customHeight="1" x14ac:dyDescent="0.15">
      <c r="A28" s="536"/>
      <c r="B28" s="537"/>
      <c r="C28" s="537"/>
      <c r="D28" s="537"/>
      <c r="E28" s="538"/>
      <c r="F28" s="563"/>
      <c r="G28" s="564"/>
      <c r="H28" s="568"/>
      <c r="I28" s="569"/>
      <c r="J28" s="569"/>
      <c r="K28" s="569"/>
      <c r="L28" s="569"/>
      <c r="M28" s="569"/>
      <c r="N28" s="569"/>
      <c r="O28" s="569"/>
      <c r="P28" s="569"/>
      <c r="Q28" s="569"/>
      <c r="R28" s="569"/>
      <c r="S28" s="569"/>
      <c r="T28" s="570"/>
      <c r="U28" s="23"/>
      <c r="V28" s="24"/>
      <c r="W28" s="536"/>
      <c r="X28" s="595"/>
      <c r="Y28" s="537"/>
      <c r="Z28" s="538"/>
    </row>
    <row r="29" spans="1:26" ht="19.5" customHeight="1" x14ac:dyDescent="0.15">
      <c r="A29" s="536"/>
      <c r="B29" s="537"/>
      <c r="C29" s="537"/>
      <c r="D29" s="537"/>
      <c r="E29" s="538"/>
      <c r="F29" s="563"/>
      <c r="G29" s="564"/>
      <c r="H29" s="568" t="s">
        <v>65</v>
      </c>
      <c r="I29" s="569"/>
      <c r="J29" s="569"/>
      <c r="K29" s="569"/>
      <c r="L29" s="569"/>
      <c r="M29" s="569"/>
      <c r="N29" s="569"/>
      <c r="O29" s="569"/>
      <c r="P29" s="569"/>
      <c r="Q29" s="569"/>
      <c r="R29" s="569"/>
      <c r="S29" s="569"/>
      <c r="T29" s="570"/>
      <c r="U29" s="23"/>
      <c r="V29" s="100"/>
      <c r="W29" s="536"/>
      <c r="X29" s="595"/>
      <c r="Y29" s="537"/>
      <c r="Z29" s="538"/>
    </row>
    <row r="30" spans="1:26" ht="19.5" customHeight="1" thickBot="1" x14ac:dyDescent="0.2">
      <c r="A30" s="501"/>
      <c r="B30" s="502"/>
      <c r="C30" s="502"/>
      <c r="D30" s="502"/>
      <c r="E30" s="503"/>
      <c r="F30" s="565"/>
      <c r="G30" s="566"/>
      <c r="H30" s="553" t="s">
        <v>66</v>
      </c>
      <c r="I30" s="554"/>
      <c r="J30" s="554"/>
      <c r="K30" s="554"/>
      <c r="L30" s="554"/>
      <c r="M30" s="554"/>
      <c r="N30" s="554"/>
      <c r="O30" s="554"/>
      <c r="P30" s="554"/>
      <c r="Q30" s="554"/>
      <c r="R30" s="554"/>
      <c r="S30" s="554"/>
      <c r="T30" s="555"/>
      <c r="U30" s="556" t="s">
        <v>67</v>
      </c>
      <c r="V30" s="557"/>
      <c r="W30" s="536"/>
      <c r="X30" s="595"/>
      <c r="Y30" s="537"/>
      <c r="Z30" s="538"/>
    </row>
    <row r="31" spans="1:26" ht="19.5" customHeight="1" x14ac:dyDescent="0.15">
      <c r="A31" s="486" t="s">
        <v>68</v>
      </c>
      <c r="B31" s="487"/>
      <c r="C31" s="487"/>
      <c r="D31" s="487"/>
      <c r="E31" s="488"/>
      <c r="F31" s="558" t="s">
        <v>69</v>
      </c>
      <c r="G31" s="559"/>
      <c r="H31" s="560" t="s">
        <v>70</v>
      </c>
      <c r="I31" s="561"/>
      <c r="J31" s="561"/>
      <c r="K31" s="561"/>
      <c r="L31" s="561"/>
      <c r="M31" s="561"/>
      <c r="N31" s="561"/>
      <c r="O31" s="561"/>
      <c r="P31" s="561"/>
      <c r="Q31" s="561"/>
      <c r="R31" s="561"/>
      <c r="S31" s="561"/>
      <c r="T31" s="562"/>
      <c r="U31" s="536" t="s">
        <v>71</v>
      </c>
      <c r="V31" s="538"/>
      <c r="W31" s="536"/>
      <c r="X31" s="595"/>
      <c r="Y31" s="537"/>
      <c r="Z31" s="538"/>
    </row>
    <row r="32" spans="1:26" ht="19.5" customHeight="1" x14ac:dyDescent="0.15">
      <c r="A32" s="514" t="s">
        <v>27</v>
      </c>
      <c r="B32" s="515"/>
      <c r="C32" s="515"/>
      <c r="D32" s="515"/>
      <c r="E32" s="516"/>
      <c r="F32" s="541"/>
      <c r="G32" s="542"/>
      <c r="H32" s="524" t="s">
        <v>72</v>
      </c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48"/>
      <c r="U32" s="489"/>
      <c r="V32" s="490"/>
      <c r="W32" s="536"/>
      <c r="X32" s="595"/>
      <c r="Y32" s="537"/>
      <c r="Z32" s="538"/>
    </row>
    <row r="33" spans="1:33" ht="18.75" customHeight="1" x14ac:dyDescent="0.15">
      <c r="A33" s="514" t="s">
        <v>73</v>
      </c>
      <c r="B33" s="515"/>
      <c r="C33" s="515"/>
      <c r="D33" s="515"/>
      <c r="E33" s="516"/>
      <c r="F33" s="477" t="s">
        <v>74</v>
      </c>
      <c r="G33" s="479"/>
      <c r="H33" s="517" t="s">
        <v>75</v>
      </c>
      <c r="I33" s="518"/>
      <c r="J33" s="518"/>
      <c r="K33" s="518"/>
      <c r="L33" s="518"/>
      <c r="M33" s="518"/>
      <c r="N33" s="518"/>
      <c r="O33" s="518"/>
      <c r="P33" s="518"/>
      <c r="Q33" s="518"/>
      <c r="R33" s="518"/>
      <c r="S33" s="518"/>
      <c r="T33" s="519"/>
      <c r="U33" s="477" t="s">
        <v>71</v>
      </c>
      <c r="V33" s="479"/>
      <c r="W33" s="536"/>
      <c r="X33" s="595"/>
      <c r="Y33" s="537"/>
      <c r="Z33" s="538"/>
    </row>
    <row r="34" spans="1:33" ht="19.5" customHeight="1" x14ac:dyDescent="0.15">
      <c r="A34" s="536"/>
      <c r="B34" s="537"/>
      <c r="C34" s="537"/>
      <c r="D34" s="537"/>
      <c r="E34" s="538"/>
      <c r="F34" s="541" t="s">
        <v>76</v>
      </c>
      <c r="G34" s="542"/>
      <c r="H34" s="574" t="s">
        <v>77</v>
      </c>
      <c r="I34" s="575"/>
      <c r="J34" s="575"/>
      <c r="K34" s="575"/>
      <c r="L34" s="575"/>
      <c r="M34" s="576"/>
      <c r="N34" s="580" t="s">
        <v>78</v>
      </c>
      <c r="O34" s="581"/>
      <c r="P34" s="581"/>
      <c r="Q34" s="581"/>
      <c r="R34" s="581"/>
      <c r="S34" s="581"/>
      <c r="T34" s="582"/>
      <c r="U34" s="477" t="s">
        <v>71</v>
      </c>
      <c r="V34" s="479"/>
      <c r="W34" s="536"/>
      <c r="X34" s="595"/>
      <c r="Y34" s="537"/>
      <c r="Z34" s="538"/>
    </row>
    <row r="35" spans="1:33" ht="19.5" customHeight="1" x14ac:dyDescent="0.15">
      <c r="A35" s="536"/>
      <c r="B35" s="537"/>
      <c r="C35" s="537"/>
      <c r="D35" s="537"/>
      <c r="E35" s="538"/>
      <c r="F35" s="477" t="s">
        <v>79</v>
      </c>
      <c r="G35" s="479"/>
      <c r="H35" s="577"/>
      <c r="I35" s="578"/>
      <c r="J35" s="578"/>
      <c r="K35" s="578"/>
      <c r="L35" s="578"/>
      <c r="M35" s="579"/>
      <c r="N35" s="571" t="s">
        <v>80</v>
      </c>
      <c r="O35" s="518"/>
      <c r="P35" s="518"/>
      <c r="Q35" s="518"/>
      <c r="R35" s="518"/>
      <c r="S35" s="518"/>
      <c r="T35" s="519"/>
      <c r="U35" s="477" t="s">
        <v>71</v>
      </c>
      <c r="V35" s="479"/>
      <c r="W35" s="536"/>
      <c r="X35" s="595"/>
      <c r="Y35" s="537"/>
      <c r="Z35" s="538"/>
    </row>
    <row r="36" spans="1:33" ht="19.5" customHeight="1" x14ac:dyDescent="0.15">
      <c r="A36" s="536"/>
      <c r="B36" s="537"/>
      <c r="C36" s="537"/>
      <c r="D36" s="537"/>
      <c r="E36" s="538"/>
      <c r="F36" s="477" t="s">
        <v>81</v>
      </c>
      <c r="G36" s="479"/>
      <c r="H36" s="597" t="s">
        <v>82</v>
      </c>
      <c r="I36" s="598"/>
      <c r="J36" s="598"/>
      <c r="K36" s="598"/>
      <c r="L36" s="598"/>
      <c r="M36" s="599"/>
      <c r="N36" s="571" t="s">
        <v>83</v>
      </c>
      <c r="O36" s="572"/>
      <c r="P36" s="572"/>
      <c r="Q36" s="572"/>
      <c r="R36" s="572"/>
      <c r="S36" s="572"/>
      <c r="T36" s="573"/>
      <c r="U36" s="477" t="s">
        <v>71</v>
      </c>
      <c r="V36" s="479"/>
      <c r="W36" s="536"/>
      <c r="X36" s="595"/>
      <c r="Y36" s="537"/>
      <c r="Z36" s="538"/>
    </row>
    <row r="37" spans="1:33" ht="19.5" customHeight="1" x14ac:dyDescent="0.15">
      <c r="A37" s="536"/>
      <c r="B37" s="537"/>
      <c r="C37" s="537"/>
      <c r="D37" s="537"/>
      <c r="E37" s="538"/>
      <c r="F37" s="539" t="s">
        <v>84</v>
      </c>
      <c r="G37" s="540"/>
      <c r="H37" s="574"/>
      <c r="I37" s="575"/>
      <c r="J37" s="575"/>
      <c r="K37" s="575"/>
      <c r="L37" s="575"/>
      <c r="M37" s="576"/>
      <c r="N37" s="571" t="s">
        <v>85</v>
      </c>
      <c r="O37" s="572"/>
      <c r="P37" s="572"/>
      <c r="Q37" s="572"/>
      <c r="R37" s="572"/>
      <c r="S37" s="572"/>
      <c r="T37" s="573"/>
      <c r="U37" s="498" t="s">
        <v>71</v>
      </c>
      <c r="V37" s="500"/>
      <c r="W37" s="536"/>
      <c r="X37" s="595"/>
      <c r="Y37" s="537"/>
      <c r="Z37" s="538"/>
    </row>
    <row r="38" spans="1:33" ht="19.5" customHeight="1" thickBot="1" x14ac:dyDescent="0.2">
      <c r="A38" s="501"/>
      <c r="B38" s="502"/>
      <c r="C38" s="502"/>
      <c r="D38" s="502"/>
      <c r="E38" s="503"/>
      <c r="F38" s="565" t="s">
        <v>86</v>
      </c>
      <c r="G38" s="566"/>
      <c r="H38" s="600"/>
      <c r="I38" s="601"/>
      <c r="J38" s="601"/>
      <c r="K38" s="601"/>
      <c r="L38" s="601"/>
      <c r="M38" s="602"/>
      <c r="N38" s="583" t="s">
        <v>87</v>
      </c>
      <c r="O38" s="554"/>
      <c r="P38" s="554"/>
      <c r="Q38" s="554"/>
      <c r="R38" s="554"/>
      <c r="S38" s="554"/>
      <c r="T38" s="555"/>
      <c r="U38" s="584" t="s">
        <v>71</v>
      </c>
      <c r="V38" s="585"/>
      <c r="W38" s="536"/>
      <c r="X38" s="595"/>
      <c r="Y38" s="537"/>
      <c r="Z38" s="538"/>
    </row>
    <row r="39" spans="1:33" ht="19.5" customHeight="1" x14ac:dyDescent="0.15">
      <c r="A39" s="486" t="s">
        <v>68</v>
      </c>
      <c r="B39" s="487"/>
      <c r="C39" s="487"/>
      <c r="D39" s="487"/>
      <c r="E39" s="488"/>
      <c r="F39" s="563" t="s">
        <v>88</v>
      </c>
      <c r="G39" s="564"/>
      <c r="H39" s="560" t="s">
        <v>77</v>
      </c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2"/>
      <c r="U39" s="536" t="s">
        <v>71</v>
      </c>
      <c r="V39" s="538"/>
      <c r="W39" s="536"/>
      <c r="X39" s="595"/>
      <c r="Y39" s="537"/>
      <c r="Z39" s="538"/>
    </row>
    <row r="40" spans="1:33" ht="19.5" customHeight="1" x14ac:dyDescent="0.15">
      <c r="A40" s="514" t="s">
        <v>27</v>
      </c>
      <c r="B40" s="515"/>
      <c r="C40" s="515"/>
      <c r="D40" s="515"/>
      <c r="E40" s="516"/>
      <c r="F40" s="563"/>
      <c r="G40" s="564"/>
      <c r="H40" s="568" t="s">
        <v>89</v>
      </c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70"/>
      <c r="U40" s="536"/>
      <c r="V40" s="538"/>
      <c r="W40" s="536"/>
      <c r="X40" s="595"/>
      <c r="Y40" s="537"/>
      <c r="Z40" s="538"/>
    </row>
    <row r="41" spans="1:33" ht="19.5" customHeight="1" x14ac:dyDescent="0.15">
      <c r="A41" s="589" t="s">
        <v>73</v>
      </c>
      <c r="B41" s="590"/>
      <c r="C41" s="590"/>
      <c r="D41" s="590"/>
      <c r="E41" s="591"/>
      <c r="F41" s="539" t="s">
        <v>90</v>
      </c>
      <c r="G41" s="540"/>
      <c r="H41" s="543" t="s">
        <v>91</v>
      </c>
      <c r="I41" s="544"/>
      <c r="J41" s="544"/>
      <c r="K41" s="544"/>
      <c r="L41" s="544"/>
      <c r="M41" s="544"/>
      <c r="N41" s="544"/>
      <c r="O41" s="544"/>
      <c r="P41" s="544"/>
      <c r="Q41" s="544"/>
      <c r="R41" s="544"/>
      <c r="S41" s="544"/>
      <c r="T41" s="567"/>
      <c r="U41" s="498" t="s">
        <v>71</v>
      </c>
      <c r="V41" s="500"/>
      <c r="W41" s="536"/>
      <c r="X41" s="595"/>
      <c r="Y41" s="537"/>
      <c r="Z41" s="538"/>
    </row>
    <row r="42" spans="1:33" ht="19.5" customHeight="1" thickBot="1" x14ac:dyDescent="0.2">
      <c r="A42" s="592" t="s">
        <v>33</v>
      </c>
      <c r="B42" s="593"/>
      <c r="C42" s="593"/>
      <c r="D42" s="593"/>
      <c r="E42" s="594"/>
      <c r="F42" s="565"/>
      <c r="G42" s="566"/>
      <c r="H42" s="553" t="s">
        <v>92</v>
      </c>
      <c r="I42" s="554"/>
      <c r="J42" s="554"/>
      <c r="K42" s="554"/>
      <c r="L42" s="554"/>
      <c r="M42" s="554"/>
      <c r="N42" s="554"/>
      <c r="O42" s="554"/>
      <c r="P42" s="554"/>
      <c r="Q42" s="554"/>
      <c r="R42" s="554"/>
      <c r="S42" s="554"/>
      <c r="T42" s="555"/>
      <c r="U42" s="501"/>
      <c r="V42" s="503"/>
      <c r="W42" s="501"/>
      <c r="X42" s="596"/>
      <c r="Y42" s="502"/>
      <c r="Z42" s="503"/>
    </row>
    <row r="43" spans="1:33" ht="19.5" customHeight="1" x14ac:dyDescent="0.15">
      <c r="A43" s="586" t="s">
        <v>93</v>
      </c>
      <c r="B43" s="587"/>
      <c r="C43" s="587"/>
      <c r="D43" s="587"/>
      <c r="E43" s="587"/>
      <c r="F43" s="587"/>
      <c r="G43" s="587"/>
      <c r="H43" s="587"/>
      <c r="I43" s="587"/>
      <c r="J43" s="588" t="str">
        <f>IF(ISBLANK(Wagenliste!J42),"",Wagenliste!J42)</f>
        <v>N.Uka</v>
      </c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Y43" s="588"/>
      <c r="Z43" s="588"/>
      <c r="AG43" s="25"/>
    </row>
    <row r="44" spans="1:33" ht="13.5" x14ac:dyDescent="0.1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537" t="s">
        <v>94</v>
      </c>
      <c r="V44" s="537"/>
      <c r="W44" s="537"/>
      <c r="X44" s="537"/>
      <c r="Y44" s="537"/>
      <c r="Z44" s="537"/>
    </row>
  </sheetData>
  <mergeCells count="150">
    <mergeCell ref="A43:I43"/>
    <mergeCell ref="J43:Z43"/>
    <mergeCell ref="U44:Z44"/>
    <mergeCell ref="A41:E41"/>
    <mergeCell ref="F41:G42"/>
    <mergeCell ref="H41:T41"/>
    <mergeCell ref="U41:V42"/>
    <mergeCell ref="A42:E42"/>
    <mergeCell ref="H42:T42"/>
    <mergeCell ref="W25:W42"/>
    <mergeCell ref="X25:X42"/>
    <mergeCell ref="Y25:Z42"/>
    <mergeCell ref="A39:E39"/>
    <mergeCell ref="F39:G40"/>
    <mergeCell ref="H39:T39"/>
    <mergeCell ref="U39:V40"/>
    <mergeCell ref="A40:E40"/>
    <mergeCell ref="H40:T40"/>
    <mergeCell ref="N35:T35"/>
    <mergeCell ref="U35:V35"/>
    <mergeCell ref="F36:G36"/>
    <mergeCell ref="H36:M38"/>
    <mergeCell ref="N36:T36"/>
    <mergeCell ref="U36:V36"/>
    <mergeCell ref="F37:G37"/>
    <mergeCell ref="N37:T37"/>
    <mergeCell ref="U37:V37"/>
    <mergeCell ref="F38:G38"/>
    <mergeCell ref="A33:E33"/>
    <mergeCell ref="F33:G33"/>
    <mergeCell ref="H33:T33"/>
    <mergeCell ref="U33:V33"/>
    <mergeCell ref="A34:E38"/>
    <mergeCell ref="F34:G34"/>
    <mergeCell ref="H34:M35"/>
    <mergeCell ref="N34:T34"/>
    <mergeCell ref="U34:V34"/>
    <mergeCell ref="F35:G35"/>
    <mergeCell ref="N38:T38"/>
    <mergeCell ref="U38:V38"/>
    <mergeCell ref="H30:T30"/>
    <mergeCell ref="U30:V30"/>
    <mergeCell ref="A31:E31"/>
    <mergeCell ref="F31:G32"/>
    <mergeCell ref="H31:T31"/>
    <mergeCell ref="U31:V32"/>
    <mergeCell ref="A32:E32"/>
    <mergeCell ref="H32:T32"/>
    <mergeCell ref="F25:G30"/>
    <mergeCell ref="H25:T25"/>
    <mergeCell ref="H26:T26"/>
    <mergeCell ref="U26:V26"/>
    <mergeCell ref="H27:T27"/>
    <mergeCell ref="H28:T28"/>
    <mergeCell ref="H29:T29"/>
    <mergeCell ref="F23:G24"/>
    <mergeCell ref="H23:M23"/>
    <mergeCell ref="O23:S23"/>
    <mergeCell ref="U23:V24"/>
    <mergeCell ref="H24:M24"/>
    <mergeCell ref="O24:S24"/>
    <mergeCell ref="F21:G21"/>
    <mergeCell ref="H21:T21"/>
    <mergeCell ref="U21:V21"/>
    <mergeCell ref="U15:Z15"/>
    <mergeCell ref="F16:G16"/>
    <mergeCell ref="H16:T16"/>
    <mergeCell ref="U16:V16"/>
    <mergeCell ref="W21:X21"/>
    <mergeCell ref="Y21:Z21"/>
    <mergeCell ref="F22:G22"/>
    <mergeCell ref="H22:T22"/>
    <mergeCell ref="U22:V22"/>
    <mergeCell ref="F19:G19"/>
    <mergeCell ref="H19:T19"/>
    <mergeCell ref="U19:V19"/>
    <mergeCell ref="F20:G20"/>
    <mergeCell ref="H20:T20"/>
    <mergeCell ref="U20:V20"/>
    <mergeCell ref="Y12:Z13"/>
    <mergeCell ref="H13:M13"/>
    <mergeCell ref="N13:T13"/>
    <mergeCell ref="F14:G14"/>
    <mergeCell ref="H14:T14"/>
    <mergeCell ref="Y14:Z14"/>
    <mergeCell ref="A11:E11"/>
    <mergeCell ref="F11:G11"/>
    <mergeCell ref="H11:T11"/>
    <mergeCell ref="U11:V14"/>
    <mergeCell ref="W11:X14"/>
    <mergeCell ref="Y11:Z11"/>
    <mergeCell ref="A12:E30"/>
    <mergeCell ref="F12:G13"/>
    <mergeCell ref="H12:M12"/>
    <mergeCell ref="N12:T12"/>
    <mergeCell ref="F17:G17"/>
    <mergeCell ref="H17:T17"/>
    <mergeCell ref="U17:V17"/>
    <mergeCell ref="F18:G18"/>
    <mergeCell ref="H18:T18"/>
    <mergeCell ref="U18:V18"/>
    <mergeCell ref="F15:G15"/>
    <mergeCell ref="H15:T15"/>
    <mergeCell ref="A10:E10"/>
    <mergeCell ref="F10:G10"/>
    <mergeCell ref="H10:T10"/>
    <mergeCell ref="U10:V10"/>
    <mergeCell ref="W10:X10"/>
    <mergeCell ref="Y10:Z10"/>
    <mergeCell ref="A9:E9"/>
    <mergeCell ref="F9:G9"/>
    <mergeCell ref="H9:T9"/>
    <mergeCell ref="U9:V9"/>
    <mergeCell ref="W9:X9"/>
    <mergeCell ref="Y9:Z9"/>
    <mergeCell ref="A8:E8"/>
    <mergeCell ref="F8:G8"/>
    <mergeCell ref="H8:T8"/>
    <mergeCell ref="U8:V8"/>
    <mergeCell ref="W8:X8"/>
    <mergeCell ref="Y8:Z8"/>
    <mergeCell ref="A6:E7"/>
    <mergeCell ref="F6:G7"/>
    <mergeCell ref="H6:T7"/>
    <mergeCell ref="U6:V7"/>
    <mergeCell ref="W6:X6"/>
    <mergeCell ref="Y6:Z7"/>
    <mergeCell ref="W7:X7"/>
    <mergeCell ref="A1:E1"/>
    <mergeCell ref="G1:H1"/>
    <mergeCell ref="I1:N1"/>
    <mergeCell ref="P1:Q1"/>
    <mergeCell ref="R1:U1"/>
    <mergeCell ref="W1:Z1"/>
    <mergeCell ref="A5:E5"/>
    <mergeCell ref="F5:G5"/>
    <mergeCell ref="H5:T5"/>
    <mergeCell ref="U5:V5"/>
    <mergeCell ref="W5:X5"/>
    <mergeCell ref="Y5:Z5"/>
    <mergeCell ref="G2:H2"/>
    <mergeCell ref="I2:N2"/>
    <mergeCell ref="P2:Q2"/>
    <mergeCell ref="R2:U2"/>
    <mergeCell ref="W2:Z2"/>
    <mergeCell ref="G3:H3"/>
    <mergeCell ref="P3:Q3"/>
    <mergeCell ref="R3:U3"/>
    <mergeCell ref="W3:Z3"/>
    <mergeCell ref="I3:N3"/>
  </mergeCells>
  <pageMargins left="0.78740157499999996" right="0.78740157499999996" top="0.984251969" bottom="0.984251969" header="0.4921259845" footer="0.4921259845"/>
  <pageSetup scale="7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>
    <pageSetUpPr fitToPage="1"/>
  </sheetPr>
  <dimension ref="A1:BE72"/>
  <sheetViews>
    <sheetView showZeros="0" zoomScale="130" zoomScaleNormal="130" workbookViewId="0">
      <selection activeCell="BA57" sqref="BA57"/>
    </sheetView>
  </sheetViews>
  <sheetFormatPr defaultColWidth="3.1015625" defaultRowHeight="15" customHeight="1" x14ac:dyDescent="0.15"/>
  <cols>
    <col min="1" max="1" width="1.75" style="26" customWidth="1"/>
    <col min="2" max="2" width="1.48046875" style="26" customWidth="1"/>
    <col min="3" max="26" width="3.1015625" style="26" customWidth="1"/>
    <col min="27" max="33" width="1.6171875" style="26" customWidth="1"/>
    <col min="34" max="35" width="1.48046875" style="26" customWidth="1"/>
    <col min="36" max="40" width="1.6171875" style="26" customWidth="1"/>
    <col min="41" max="49" width="3.1015625" style="26"/>
    <col min="50" max="50" width="9.03515625" style="26" bestFit="1" customWidth="1"/>
    <col min="51" max="56" width="3.1015625" style="26"/>
    <col min="57" max="57" width="5.93359375" style="26" bestFit="1" customWidth="1"/>
    <col min="58" max="16384" width="3.1015625" style="26"/>
  </cols>
  <sheetData>
    <row r="1" spans="1:57" ht="15" customHeight="1" x14ac:dyDescent="0.15">
      <c r="B1" s="27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</row>
    <row r="2" spans="1:57" ht="15" customHeight="1" x14ac:dyDescent="0.15">
      <c r="B2" s="5" t="s">
        <v>1</v>
      </c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</row>
    <row r="3" spans="1:57" ht="15" customHeight="1" x14ac:dyDescent="0.15">
      <c r="B3" s="5"/>
      <c r="C3" s="6"/>
      <c r="D3" s="6"/>
      <c r="E3" s="6"/>
      <c r="F3" s="6"/>
      <c r="G3" s="6"/>
      <c r="H3" s="6"/>
      <c r="I3" s="6"/>
      <c r="J3" s="6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</row>
    <row r="4" spans="1:57" ht="15" customHeight="1" x14ac:dyDescent="0.15">
      <c r="B4" s="5"/>
      <c r="C4" s="6"/>
      <c r="D4" s="6"/>
      <c r="E4" s="6"/>
      <c r="F4" s="6"/>
      <c r="G4" s="6"/>
      <c r="H4" s="6"/>
      <c r="I4" s="6"/>
      <c r="J4" s="6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"/>
    </row>
    <row r="5" spans="1:57" ht="15" customHeight="1" x14ac:dyDescent="0.15">
      <c r="B5" s="5"/>
      <c r="C5" s="6"/>
      <c r="D5" s="6"/>
      <c r="E5" s="6"/>
      <c r="F5" s="6"/>
      <c r="G5" s="6"/>
      <c r="H5" s="6"/>
      <c r="I5" s="6"/>
      <c r="J5" s="6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</row>
    <row r="6" spans="1:57" ht="15" customHeight="1" x14ac:dyDescent="0.15">
      <c r="B6" s="28"/>
      <c r="C6" s="29"/>
      <c r="D6" s="29"/>
      <c r="E6" s="29"/>
      <c r="F6" s="29"/>
      <c r="G6" s="29"/>
      <c r="H6" s="29"/>
      <c r="I6" s="29"/>
      <c r="J6" s="29"/>
      <c r="K6" s="630" t="s">
        <v>126</v>
      </c>
      <c r="L6" s="631"/>
      <c r="M6" s="631"/>
      <c r="N6" s="631"/>
      <c r="O6" s="631"/>
      <c r="P6" s="631"/>
      <c r="Q6" s="631"/>
      <c r="R6" s="631"/>
      <c r="S6" s="631"/>
      <c r="T6" s="631"/>
      <c r="U6" s="631"/>
      <c r="V6" s="631"/>
      <c r="W6" s="631"/>
      <c r="X6" s="631"/>
      <c r="Y6" s="631"/>
      <c r="Z6" s="631"/>
      <c r="AA6" s="631"/>
      <c r="AB6" s="631"/>
      <c r="AC6" s="631"/>
      <c r="AD6" s="631"/>
      <c r="AE6" s="631"/>
      <c r="AF6" s="631"/>
      <c r="AG6" s="631"/>
      <c r="AH6" s="631"/>
      <c r="AI6" s="631"/>
      <c r="AJ6" s="631"/>
      <c r="AK6" s="631"/>
      <c r="AL6" s="631"/>
      <c r="AM6" s="632"/>
    </row>
    <row r="7" spans="1:57" ht="30" customHeight="1" x14ac:dyDescent="0.15">
      <c r="A7" s="612"/>
      <c r="B7" s="666" t="s">
        <v>125</v>
      </c>
      <c r="C7" s="667"/>
      <c r="D7" s="667"/>
      <c r="E7" s="667"/>
      <c r="F7" s="667"/>
      <c r="G7" s="667"/>
      <c r="H7" s="667"/>
      <c r="I7" s="667"/>
      <c r="J7" s="667"/>
      <c r="K7" s="667"/>
      <c r="L7" s="667"/>
      <c r="M7" s="667"/>
      <c r="N7" s="667"/>
      <c r="O7" s="667"/>
      <c r="P7" s="667"/>
      <c r="Q7" s="667"/>
      <c r="R7" s="667"/>
      <c r="S7" s="667"/>
      <c r="T7" s="667"/>
      <c r="U7" s="667"/>
      <c r="V7" s="667"/>
      <c r="W7" s="667"/>
      <c r="X7" s="667"/>
      <c r="Y7" s="667"/>
      <c r="Z7" s="667"/>
      <c r="AA7" s="667"/>
      <c r="AB7" s="667"/>
      <c r="AC7" s="667"/>
      <c r="AD7" s="667"/>
      <c r="AE7" s="667"/>
      <c r="AF7" s="667"/>
      <c r="AG7" s="667"/>
      <c r="AH7" s="667"/>
      <c r="AI7" s="667"/>
      <c r="AJ7" s="667"/>
      <c r="AK7" s="667"/>
      <c r="AL7" s="667"/>
      <c r="AM7" s="668"/>
    </row>
    <row r="8" spans="1:57" ht="9.75" customHeight="1" x14ac:dyDescent="0.15">
      <c r="A8" s="612"/>
      <c r="B8" s="30"/>
      <c r="C8" s="653"/>
      <c r="D8" s="653"/>
      <c r="E8" s="653"/>
      <c r="F8" s="653"/>
      <c r="G8" s="653"/>
      <c r="H8" s="653"/>
      <c r="I8" s="653"/>
      <c r="J8" s="653"/>
      <c r="K8" s="653"/>
      <c r="L8" s="653"/>
      <c r="M8" s="653"/>
      <c r="N8" s="653"/>
      <c r="O8" s="653"/>
      <c r="P8" s="653"/>
      <c r="Q8" s="653"/>
      <c r="R8" s="653"/>
      <c r="S8" s="653"/>
      <c r="T8" s="653"/>
      <c r="U8" s="653"/>
      <c r="V8" s="653"/>
      <c r="W8" s="653"/>
      <c r="X8" s="653"/>
      <c r="Y8" s="653"/>
      <c r="Z8" s="653"/>
      <c r="AA8" s="653"/>
      <c r="AB8" s="653"/>
      <c r="AC8" s="653"/>
      <c r="AD8" s="653"/>
      <c r="AE8" s="653"/>
      <c r="AF8" s="653"/>
      <c r="AG8" s="653"/>
      <c r="AH8" s="653"/>
      <c r="AI8" s="653"/>
      <c r="AJ8" s="653"/>
      <c r="AK8" s="653"/>
      <c r="AL8" s="653"/>
      <c r="AM8" s="31"/>
      <c r="BE8"/>
    </row>
    <row r="9" spans="1:57" ht="18" customHeight="1" x14ac:dyDescent="0.15">
      <c r="A9" s="612"/>
      <c r="B9" s="30"/>
      <c r="C9" s="651" t="s">
        <v>124</v>
      </c>
      <c r="D9" s="651"/>
      <c r="E9" s="651"/>
      <c r="F9" s="651"/>
      <c r="G9" s="656">
        <f>Wagenliste!M2</f>
        <v>0</v>
      </c>
      <c r="H9" s="645"/>
      <c r="I9" s="645"/>
      <c r="J9" s="645"/>
      <c r="K9" s="646"/>
      <c r="L9" s="32"/>
      <c r="M9" s="643" t="s">
        <v>123</v>
      </c>
      <c r="N9" s="643"/>
      <c r="O9" s="643"/>
      <c r="P9" s="640" t="str">
        <f>Wagenliste!A42</f>
        <v>28. 02 2026</v>
      </c>
      <c r="Q9" s="641"/>
      <c r="R9" s="641"/>
      <c r="S9" s="641"/>
      <c r="T9" s="641"/>
      <c r="U9" s="642"/>
      <c r="V9" s="32"/>
      <c r="W9" s="643" t="s">
        <v>122</v>
      </c>
      <c r="X9" s="643"/>
      <c r="Y9" s="644" t="s">
        <v>312</v>
      </c>
      <c r="Z9" s="645"/>
      <c r="AA9" s="645"/>
      <c r="AB9" s="645"/>
      <c r="AC9" s="645"/>
      <c r="AD9" s="645"/>
      <c r="AE9" s="645"/>
      <c r="AF9" s="645"/>
      <c r="AG9" s="645"/>
      <c r="AH9" s="645"/>
      <c r="AI9" s="645"/>
      <c r="AJ9" s="645"/>
      <c r="AK9" s="645"/>
      <c r="AL9" s="646"/>
      <c r="AM9" s="31"/>
    </row>
    <row r="10" spans="1:57" ht="7.5" customHeight="1" x14ac:dyDescent="0.15">
      <c r="A10" s="612"/>
      <c r="B10" s="30"/>
      <c r="C10" s="612"/>
      <c r="D10" s="612"/>
      <c r="E10" s="612"/>
      <c r="F10" s="612"/>
      <c r="G10" s="612"/>
      <c r="H10" s="612"/>
      <c r="I10" s="612"/>
      <c r="J10" s="612"/>
      <c r="K10" s="612"/>
      <c r="L10" s="612"/>
      <c r="M10" s="612"/>
      <c r="N10" s="612"/>
      <c r="O10" s="612"/>
      <c r="P10" s="612"/>
      <c r="Q10" s="612"/>
      <c r="R10" s="612"/>
      <c r="S10" s="612"/>
      <c r="T10" s="612"/>
      <c r="U10" s="612"/>
      <c r="V10" s="612"/>
      <c r="W10" s="612"/>
      <c r="X10" s="612"/>
      <c r="Y10" s="612"/>
      <c r="Z10" s="612"/>
      <c r="AA10" s="612"/>
      <c r="AB10" s="612"/>
      <c r="AC10" s="612"/>
      <c r="AD10" s="612"/>
      <c r="AE10" s="612"/>
      <c r="AF10" s="612"/>
      <c r="AG10" s="612"/>
      <c r="AH10" s="612"/>
      <c r="AI10" s="612"/>
      <c r="AJ10" s="612"/>
      <c r="AK10" s="612"/>
      <c r="AL10" s="612"/>
      <c r="AM10" s="31"/>
    </row>
    <row r="11" spans="1:57" ht="18" customHeight="1" x14ac:dyDescent="0.15">
      <c r="A11" s="612"/>
      <c r="B11" s="30"/>
      <c r="C11" s="643" t="s">
        <v>135</v>
      </c>
      <c r="D11" s="643"/>
      <c r="E11" s="643"/>
      <c r="F11" s="643"/>
      <c r="G11" s="657" t="str">
        <f>Wagenliste!U2</f>
        <v xml:space="preserve">Schkeuditz Luftfracht </v>
      </c>
      <c r="H11" s="658"/>
      <c r="I11" s="658"/>
      <c r="J11" s="658"/>
      <c r="K11" s="659"/>
      <c r="L11" s="33"/>
      <c r="M11" s="651" t="s">
        <v>120</v>
      </c>
      <c r="N11" s="651"/>
      <c r="O11" s="651"/>
      <c r="P11" s="660">
        <f>Wagenliste!G42</f>
        <v>0.11805555555555555</v>
      </c>
      <c r="Q11" s="661"/>
      <c r="R11" s="661"/>
      <c r="S11" s="661"/>
      <c r="T11" s="661"/>
      <c r="U11" s="662"/>
      <c r="W11" s="663" t="s">
        <v>119</v>
      </c>
      <c r="X11" s="664"/>
      <c r="Y11" s="664"/>
      <c r="Z11" s="664"/>
      <c r="AA11" s="664"/>
      <c r="AB11" s="664"/>
      <c r="AC11" s="664"/>
      <c r="AD11" s="664"/>
      <c r="AE11" s="664"/>
      <c r="AF11" s="664"/>
      <c r="AG11" s="664"/>
      <c r="AH11" s="664"/>
      <c r="AI11" s="664"/>
      <c r="AJ11" s="664"/>
      <c r="AK11" s="664"/>
      <c r="AL11" s="665"/>
      <c r="AM11" s="31"/>
    </row>
    <row r="12" spans="1:57" ht="7.5" customHeight="1" x14ac:dyDescent="0.15">
      <c r="A12" s="612"/>
      <c r="B12" s="30"/>
      <c r="C12" s="612"/>
      <c r="D12" s="612"/>
      <c r="E12" s="612"/>
      <c r="F12" s="612"/>
      <c r="G12" s="612"/>
      <c r="H12" s="612"/>
      <c r="I12" s="612"/>
      <c r="J12" s="612"/>
      <c r="K12" s="612"/>
      <c r="L12" s="612"/>
      <c r="M12" s="612"/>
      <c r="N12" s="612"/>
      <c r="O12" s="612"/>
      <c r="P12" s="612"/>
      <c r="Q12" s="612"/>
      <c r="R12" s="612"/>
      <c r="S12" s="612"/>
      <c r="T12" s="612"/>
      <c r="U12" s="612"/>
      <c r="V12" s="672"/>
      <c r="W12" s="673"/>
      <c r="X12" s="674"/>
      <c r="Y12" s="674"/>
      <c r="Z12" s="674"/>
      <c r="AA12" s="674"/>
      <c r="AB12" s="674"/>
      <c r="AC12" s="674"/>
      <c r="AD12" s="674"/>
      <c r="AE12" s="674"/>
      <c r="AF12" s="674"/>
      <c r="AG12" s="674"/>
      <c r="AH12" s="674"/>
      <c r="AI12" s="674"/>
      <c r="AJ12" s="674"/>
      <c r="AK12" s="674"/>
      <c r="AL12" s="675"/>
      <c r="AM12" s="31"/>
    </row>
    <row r="13" spans="1:57" ht="18" customHeight="1" x14ac:dyDescent="0.15">
      <c r="A13" s="612"/>
      <c r="B13" s="30"/>
      <c r="C13" s="651" t="s">
        <v>121</v>
      </c>
      <c r="D13" s="651"/>
      <c r="E13" s="651"/>
      <c r="F13" s="651"/>
      <c r="G13" s="656">
        <f>Wagenliste!B37</f>
        <v>20</v>
      </c>
      <c r="H13" s="645"/>
      <c r="I13" s="645"/>
      <c r="J13" s="645"/>
      <c r="K13" s="646"/>
      <c r="L13" s="33"/>
      <c r="M13" s="651" t="s">
        <v>117</v>
      </c>
      <c r="N13" s="651"/>
      <c r="O13" s="651"/>
      <c r="P13" s="669"/>
      <c r="Q13" s="670"/>
      <c r="R13" s="670"/>
      <c r="S13" s="670"/>
      <c r="T13" s="670"/>
      <c r="U13" s="671"/>
      <c r="W13" s="676"/>
      <c r="X13" s="677"/>
      <c r="Y13" s="677"/>
      <c r="Z13" s="677"/>
      <c r="AA13" s="677"/>
      <c r="AB13" s="677"/>
      <c r="AC13" s="677"/>
      <c r="AD13" s="677"/>
      <c r="AE13" s="677"/>
      <c r="AF13" s="677"/>
      <c r="AG13" s="677"/>
      <c r="AH13" s="677"/>
      <c r="AI13" s="677"/>
      <c r="AJ13" s="677"/>
      <c r="AK13" s="677"/>
      <c r="AL13" s="678"/>
      <c r="AM13" s="31"/>
    </row>
    <row r="14" spans="1:57" ht="7.5" customHeight="1" x14ac:dyDescent="0.15">
      <c r="A14" s="612"/>
      <c r="B14" s="30"/>
      <c r="C14" s="34"/>
      <c r="D14" s="34"/>
      <c r="E14" s="34"/>
      <c r="F14" s="34"/>
      <c r="G14" s="35"/>
      <c r="H14" s="36"/>
      <c r="I14" s="36"/>
      <c r="J14" s="36"/>
      <c r="K14" s="36"/>
      <c r="L14" s="33"/>
      <c r="M14" s="34"/>
      <c r="N14" s="34"/>
      <c r="O14" s="34"/>
      <c r="P14" s="37"/>
      <c r="Q14" s="37"/>
      <c r="R14" s="37"/>
      <c r="S14" s="37"/>
      <c r="T14" s="37"/>
      <c r="U14" s="37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1"/>
    </row>
    <row r="15" spans="1:57" ht="18" customHeight="1" x14ac:dyDescent="0.15">
      <c r="A15" s="612"/>
      <c r="B15" s="30"/>
      <c r="C15" s="651" t="s">
        <v>118</v>
      </c>
      <c r="D15" s="651"/>
      <c r="E15" s="651"/>
      <c r="F15" s="686"/>
      <c r="G15" s="656">
        <f>Wagenliste!G37</f>
        <v>80</v>
      </c>
      <c r="H15" s="645"/>
      <c r="I15" s="645"/>
      <c r="J15" s="645"/>
      <c r="K15" s="646"/>
      <c r="L15" s="33"/>
      <c r="M15" s="651" t="s">
        <v>134</v>
      </c>
      <c r="N15" s="651"/>
      <c r="O15" s="651"/>
      <c r="P15" s="687"/>
      <c r="Q15" s="670"/>
      <c r="R15" s="670"/>
      <c r="S15" s="670"/>
      <c r="T15" s="670"/>
      <c r="U15" s="671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1"/>
    </row>
    <row r="16" spans="1:57" ht="7.5" customHeight="1" x14ac:dyDescent="0.15">
      <c r="A16" s="612"/>
      <c r="B16" s="30"/>
      <c r="C16" s="652"/>
      <c r="D16" s="652"/>
      <c r="E16" s="652"/>
      <c r="F16" s="652"/>
      <c r="G16" s="652"/>
      <c r="H16" s="652"/>
      <c r="I16" s="652"/>
      <c r="J16" s="652"/>
      <c r="K16" s="652"/>
      <c r="L16" s="652"/>
      <c r="M16" s="652"/>
      <c r="N16" s="652"/>
      <c r="O16" s="652"/>
      <c r="P16" s="652"/>
      <c r="Q16" s="652"/>
      <c r="R16" s="652"/>
      <c r="S16" s="652"/>
      <c r="T16" s="652"/>
      <c r="U16" s="652"/>
      <c r="V16" s="652"/>
      <c r="W16" s="652"/>
      <c r="X16" s="652"/>
      <c r="Y16" s="652"/>
      <c r="Z16" s="652"/>
      <c r="AA16" s="652"/>
      <c r="AB16" s="652"/>
      <c r="AC16" s="652"/>
      <c r="AD16" s="652"/>
      <c r="AE16" s="652"/>
      <c r="AF16" s="652"/>
      <c r="AG16" s="652"/>
      <c r="AH16" s="652"/>
      <c r="AI16" s="652"/>
      <c r="AJ16" s="652"/>
      <c r="AK16" s="652"/>
      <c r="AL16" s="652"/>
      <c r="AM16" s="31"/>
    </row>
    <row r="17" spans="1:39" ht="7.5" customHeight="1" x14ac:dyDescent="0.15">
      <c r="A17" s="612"/>
      <c r="B17" s="30"/>
      <c r="C17" s="653"/>
      <c r="D17" s="653"/>
      <c r="E17" s="653"/>
      <c r="F17" s="653"/>
      <c r="G17" s="653"/>
      <c r="H17" s="653"/>
      <c r="I17" s="653"/>
      <c r="J17" s="653"/>
      <c r="K17" s="653"/>
      <c r="L17" s="653"/>
      <c r="M17" s="653"/>
      <c r="N17" s="653"/>
      <c r="O17" s="653"/>
      <c r="P17" s="653"/>
      <c r="Q17" s="653"/>
      <c r="R17" s="653"/>
      <c r="S17" s="653"/>
      <c r="T17" s="653"/>
      <c r="U17" s="653"/>
      <c r="V17" s="653"/>
      <c r="W17" s="653"/>
      <c r="X17" s="653"/>
      <c r="Y17" s="653"/>
      <c r="Z17" s="653"/>
      <c r="AA17" s="653"/>
      <c r="AB17" s="653"/>
      <c r="AC17" s="653"/>
      <c r="AD17" s="653"/>
      <c r="AE17" s="653"/>
      <c r="AF17" s="653"/>
      <c r="AG17" s="653"/>
      <c r="AH17" s="653"/>
      <c r="AI17" s="653"/>
      <c r="AJ17" s="653"/>
      <c r="AK17" s="653"/>
      <c r="AL17" s="653"/>
      <c r="AM17" s="31"/>
    </row>
    <row r="18" spans="1:39" ht="15" customHeight="1" x14ac:dyDescent="0.15">
      <c r="A18" s="612"/>
      <c r="B18" s="30"/>
      <c r="C18" s="651" t="s">
        <v>116</v>
      </c>
      <c r="D18" s="651"/>
      <c r="E18" s="651"/>
      <c r="F18" s="651"/>
      <c r="G18" s="651"/>
      <c r="H18" s="651"/>
      <c r="I18" s="651"/>
      <c r="J18" s="651"/>
      <c r="K18" s="32"/>
      <c r="L18" s="2" t="s">
        <v>231</v>
      </c>
      <c r="M18" s="617" t="s">
        <v>110</v>
      </c>
      <c r="N18" s="612"/>
      <c r="O18" s="32"/>
      <c r="P18" s="2"/>
      <c r="Q18" s="635" t="s">
        <v>114</v>
      </c>
      <c r="R18" s="636"/>
      <c r="S18" s="33"/>
      <c r="T18" s="33"/>
      <c r="U18" s="33"/>
      <c r="V18" s="33"/>
      <c r="AI18" s="32"/>
      <c r="AJ18" s="32"/>
      <c r="AK18" s="32"/>
      <c r="AL18" s="32"/>
      <c r="AM18" s="31"/>
    </row>
    <row r="19" spans="1:39" ht="7.5" customHeight="1" x14ac:dyDescent="0.15">
      <c r="A19" s="612"/>
      <c r="B19" s="30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2"/>
      <c r="AA19" s="612"/>
      <c r="AB19" s="612"/>
      <c r="AC19" s="612"/>
      <c r="AD19" s="612"/>
      <c r="AE19" s="612"/>
      <c r="AF19" s="612"/>
      <c r="AG19" s="612"/>
      <c r="AH19" s="612"/>
      <c r="AI19" s="612"/>
      <c r="AJ19" s="612"/>
      <c r="AK19" s="612"/>
      <c r="AL19" s="612"/>
      <c r="AM19" s="31"/>
    </row>
    <row r="20" spans="1:39" ht="15" customHeight="1" x14ac:dyDescent="0.15">
      <c r="A20" s="612"/>
      <c r="B20" s="30"/>
      <c r="C20" s="651" t="s">
        <v>115</v>
      </c>
      <c r="D20" s="651"/>
      <c r="E20" s="651"/>
      <c r="F20" s="651"/>
      <c r="G20" s="651"/>
      <c r="H20" s="651"/>
      <c r="I20" s="651"/>
      <c r="J20" s="651"/>
      <c r="K20" s="651"/>
      <c r="L20" s="2" t="s">
        <v>231</v>
      </c>
      <c r="M20" s="617" t="s">
        <v>110</v>
      </c>
      <c r="N20" s="612"/>
      <c r="O20" s="32"/>
      <c r="P20" s="2"/>
      <c r="Q20" s="635" t="s">
        <v>114</v>
      </c>
      <c r="R20" s="636"/>
      <c r="S20" s="32"/>
      <c r="T20" s="32"/>
      <c r="U20" s="32"/>
      <c r="V20" s="32"/>
      <c r="W20" s="32"/>
      <c r="X20" s="636" t="s">
        <v>113</v>
      </c>
      <c r="Y20" s="636"/>
      <c r="Z20" s="636"/>
      <c r="AA20" s="637">
        <f>Wagenliste!G42</f>
        <v>0.11805555555555555</v>
      </c>
      <c r="AB20" s="637"/>
      <c r="AC20" s="637"/>
      <c r="AD20" s="637"/>
      <c r="AE20" s="637"/>
      <c r="AF20" s="637"/>
      <c r="AG20" s="637"/>
      <c r="AH20" s="637"/>
      <c r="AI20" s="637"/>
      <c r="AJ20" s="637"/>
      <c r="AK20" s="637"/>
      <c r="AL20" s="637"/>
      <c r="AM20" s="39"/>
    </row>
    <row r="21" spans="1:39" ht="7.5" customHeight="1" x14ac:dyDescent="0.15">
      <c r="A21" s="612"/>
      <c r="B21" s="30"/>
      <c r="C21" s="612"/>
      <c r="D21" s="612"/>
      <c r="E21" s="612"/>
      <c r="F21" s="612"/>
      <c r="G21" s="612"/>
      <c r="H21" s="612"/>
      <c r="I21" s="612"/>
      <c r="J21" s="612"/>
      <c r="K21" s="612"/>
      <c r="L21" s="612"/>
      <c r="M21" s="612"/>
      <c r="N21" s="612"/>
      <c r="O21" s="612"/>
      <c r="P21" s="612"/>
      <c r="Q21" s="612"/>
      <c r="R21" s="612"/>
      <c r="S21" s="612"/>
      <c r="T21" s="612"/>
      <c r="U21" s="612"/>
      <c r="V21" s="612"/>
      <c r="W21" s="612"/>
      <c r="X21" s="612"/>
      <c r="Y21" s="612"/>
      <c r="Z21" s="612"/>
      <c r="AA21" s="612"/>
      <c r="AB21" s="612"/>
      <c r="AC21" s="612"/>
      <c r="AD21" s="612"/>
      <c r="AE21" s="612"/>
      <c r="AF21" s="612"/>
      <c r="AG21" s="612"/>
      <c r="AH21" s="612"/>
      <c r="AI21" s="612"/>
      <c r="AJ21" s="612"/>
      <c r="AK21" s="612"/>
      <c r="AL21" s="612"/>
      <c r="AM21" s="31"/>
    </row>
    <row r="22" spans="1:39" ht="18" customHeight="1" x14ac:dyDescent="0.15">
      <c r="A22" s="612"/>
      <c r="B22" s="30"/>
      <c r="C22" s="636" t="s">
        <v>112</v>
      </c>
      <c r="D22" s="636"/>
      <c r="E22" s="636"/>
      <c r="F22" s="638" t="s">
        <v>232</v>
      </c>
      <c r="G22" s="63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8"/>
      <c r="W22" s="638"/>
      <c r="X22" s="638"/>
      <c r="Y22" s="638"/>
      <c r="Z22" s="638"/>
      <c r="AA22" s="638"/>
      <c r="AB22" s="638"/>
      <c r="AC22" s="638"/>
      <c r="AD22" s="638"/>
      <c r="AE22" s="638"/>
      <c r="AF22" s="638"/>
      <c r="AG22" s="638"/>
      <c r="AH22" s="638"/>
      <c r="AI22" s="638"/>
      <c r="AJ22" s="638"/>
      <c r="AK22" s="638"/>
      <c r="AL22" s="638"/>
      <c r="AM22" s="31"/>
    </row>
    <row r="23" spans="1:39" ht="7.5" customHeight="1" x14ac:dyDescent="0.15">
      <c r="A23" s="612"/>
      <c r="B23" s="30"/>
      <c r="C23" s="612"/>
      <c r="D23" s="612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2"/>
      <c r="W23" s="612"/>
      <c r="X23" s="612"/>
      <c r="Y23" s="612"/>
      <c r="Z23" s="612"/>
      <c r="AA23" s="612"/>
      <c r="AB23" s="612"/>
      <c r="AC23" s="612"/>
      <c r="AD23" s="612"/>
      <c r="AE23" s="612"/>
      <c r="AF23" s="612"/>
      <c r="AG23" s="612"/>
      <c r="AH23" s="612"/>
      <c r="AI23" s="612"/>
      <c r="AJ23" s="612"/>
      <c r="AK23" s="612"/>
      <c r="AL23" s="612"/>
      <c r="AM23" s="31"/>
    </row>
    <row r="24" spans="1:39" ht="15" customHeight="1" x14ac:dyDescent="0.15">
      <c r="A24" s="612"/>
      <c r="B24" s="30"/>
      <c r="C24" s="636" t="s">
        <v>111</v>
      </c>
      <c r="D24" s="636"/>
      <c r="E24" s="636"/>
      <c r="F24" s="636"/>
      <c r="G24" s="2" t="s">
        <v>231</v>
      </c>
      <c r="H24" s="617" t="s">
        <v>110</v>
      </c>
      <c r="I24" s="612"/>
      <c r="K24" s="2"/>
      <c r="L24" s="617" t="s">
        <v>109</v>
      </c>
      <c r="M24" s="612"/>
      <c r="N24" s="40"/>
      <c r="O24" s="655"/>
      <c r="P24" s="655"/>
      <c r="Q24" s="655"/>
      <c r="R24" s="655"/>
      <c r="S24" s="655"/>
      <c r="T24" s="655"/>
      <c r="U24" s="655"/>
      <c r="V24" s="655"/>
      <c r="W24" s="655"/>
      <c r="X24" s="655"/>
      <c r="Y24" s="655"/>
      <c r="AA24" s="639"/>
      <c r="AB24" s="639"/>
      <c r="AC24" s="612"/>
      <c r="AD24" s="612"/>
      <c r="AE24" s="612"/>
      <c r="AF24" s="612"/>
      <c r="AG24" s="639"/>
      <c r="AH24" s="639"/>
      <c r="AI24" s="612"/>
      <c r="AJ24" s="612"/>
      <c r="AK24" s="612"/>
      <c r="AL24" s="612"/>
      <c r="AM24" s="31"/>
    </row>
    <row r="25" spans="1:39" ht="7.5" customHeight="1" x14ac:dyDescent="0.15">
      <c r="A25" s="612"/>
      <c r="B25" s="30"/>
      <c r="C25" s="652"/>
      <c r="D25" s="652"/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2"/>
      <c r="P25" s="652"/>
      <c r="Q25" s="652"/>
      <c r="R25" s="652"/>
      <c r="S25" s="652"/>
      <c r="T25" s="652"/>
      <c r="U25" s="652"/>
      <c r="V25" s="652"/>
      <c r="W25" s="652"/>
      <c r="X25" s="652"/>
      <c r="Y25" s="652"/>
      <c r="Z25" s="652"/>
      <c r="AA25" s="652"/>
      <c r="AB25" s="652"/>
      <c r="AC25" s="652"/>
      <c r="AD25" s="652"/>
      <c r="AE25" s="652"/>
      <c r="AF25" s="652"/>
      <c r="AG25" s="652"/>
      <c r="AH25" s="652"/>
      <c r="AI25" s="652"/>
      <c r="AJ25" s="652"/>
      <c r="AK25" s="652"/>
      <c r="AL25" s="652"/>
      <c r="AM25" s="31"/>
    </row>
    <row r="26" spans="1:39" ht="11.25" customHeight="1" x14ac:dyDescent="0.15">
      <c r="A26" s="612"/>
      <c r="B26" s="30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53"/>
      <c r="AB26" s="653"/>
      <c r="AC26" s="653"/>
      <c r="AD26" s="653"/>
      <c r="AE26" s="653"/>
      <c r="AF26" s="653"/>
      <c r="AG26" s="653"/>
      <c r="AH26" s="653"/>
      <c r="AI26" s="653"/>
      <c r="AJ26" s="653"/>
      <c r="AK26" s="653"/>
      <c r="AL26" s="653"/>
      <c r="AM26" s="31"/>
    </row>
    <row r="27" spans="1:39" ht="18" customHeight="1" x14ac:dyDescent="0.15">
      <c r="A27" s="612"/>
      <c r="B27" s="30"/>
      <c r="C27" s="654" t="s">
        <v>136</v>
      </c>
      <c r="D27" s="654"/>
      <c r="E27" s="654"/>
      <c r="F27" s="654"/>
      <c r="G27" s="654"/>
      <c r="H27" s="654"/>
      <c r="I27" s="647">
        <f>Wagenliste!B7</f>
        <v>378078308871</v>
      </c>
      <c r="J27" s="648"/>
      <c r="K27" s="648"/>
      <c r="L27" s="648"/>
      <c r="M27" s="648"/>
      <c r="N27" s="648"/>
      <c r="O27" s="648"/>
      <c r="P27" s="648"/>
      <c r="Q27" s="648"/>
      <c r="R27" s="648"/>
      <c r="S27" s="648"/>
      <c r="T27" s="649"/>
      <c r="U27" s="650"/>
      <c r="V27" s="612"/>
      <c r="W27" s="612"/>
      <c r="X27" s="612"/>
      <c r="Y27" s="612"/>
      <c r="Z27" s="612"/>
      <c r="AA27" s="612"/>
      <c r="AB27" s="612"/>
      <c r="AC27" s="612"/>
      <c r="AD27" s="612"/>
      <c r="AE27" s="612"/>
      <c r="AF27" s="612"/>
      <c r="AG27" s="612"/>
      <c r="AH27" s="612"/>
      <c r="AI27" s="612"/>
      <c r="AJ27" s="612"/>
      <c r="AK27" s="612"/>
      <c r="AL27" s="612"/>
      <c r="AM27" s="31"/>
    </row>
    <row r="28" spans="1:39" ht="7.5" customHeight="1" x14ac:dyDescent="0.15">
      <c r="A28" s="612"/>
      <c r="B28" s="30"/>
      <c r="C28" s="612"/>
      <c r="D28" s="612"/>
      <c r="E28" s="612"/>
      <c r="F28" s="612"/>
      <c r="G28" s="612"/>
      <c r="H28" s="612"/>
      <c r="I28" s="612"/>
      <c r="J28" s="612"/>
      <c r="K28" s="612"/>
      <c r="L28" s="612"/>
      <c r="M28" s="612"/>
      <c r="N28" s="612"/>
      <c r="O28" s="612"/>
      <c r="P28" s="612"/>
      <c r="Q28" s="612"/>
      <c r="R28" s="612"/>
      <c r="S28" s="612"/>
      <c r="T28" s="612"/>
      <c r="U28" s="612"/>
      <c r="V28" s="612"/>
      <c r="W28" s="612"/>
      <c r="X28" s="612"/>
      <c r="Y28" s="612"/>
      <c r="Z28" s="612"/>
      <c r="AA28" s="612"/>
      <c r="AB28" s="612"/>
      <c r="AC28" s="612"/>
      <c r="AD28" s="612"/>
      <c r="AE28" s="612"/>
      <c r="AF28" s="612"/>
      <c r="AG28" s="612"/>
      <c r="AH28" s="612"/>
      <c r="AI28" s="612"/>
      <c r="AJ28" s="612"/>
      <c r="AK28" s="612"/>
      <c r="AL28" s="612"/>
      <c r="AM28" s="31"/>
    </row>
    <row r="29" spans="1:39" ht="18" customHeight="1" x14ac:dyDescent="0.15">
      <c r="A29" s="612"/>
      <c r="B29" s="30"/>
      <c r="C29" s="654" t="s">
        <v>137</v>
      </c>
      <c r="D29" s="654"/>
      <c r="E29" s="654"/>
      <c r="F29" s="654"/>
      <c r="G29" s="654"/>
      <c r="H29" s="654"/>
      <c r="I29" s="647">
        <f>'Formeln Rdx'!B42</f>
        <v>378079297701</v>
      </c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9"/>
      <c r="U29" s="650"/>
      <c r="V29" s="612"/>
      <c r="W29" s="612"/>
      <c r="X29" s="612"/>
      <c r="Y29" s="612"/>
      <c r="Z29" s="612"/>
      <c r="AA29" s="612"/>
      <c r="AB29" s="612"/>
      <c r="AC29" s="612"/>
      <c r="AD29" s="612"/>
      <c r="AE29" s="612"/>
      <c r="AF29" s="612"/>
      <c r="AG29" s="612"/>
      <c r="AH29" s="612"/>
      <c r="AI29" s="612"/>
      <c r="AJ29" s="612"/>
      <c r="AK29" s="612"/>
      <c r="AL29" s="612"/>
      <c r="AM29" s="31"/>
    </row>
    <row r="30" spans="1:39" ht="15" customHeight="1" x14ac:dyDescent="0.15">
      <c r="A30" s="612"/>
      <c r="B30" s="30"/>
      <c r="C30" s="682"/>
      <c r="D30" s="682"/>
      <c r="E30" s="682"/>
      <c r="F30" s="682"/>
      <c r="G30" s="682"/>
      <c r="H30" s="682"/>
      <c r="I30" s="682"/>
      <c r="J30" s="682"/>
      <c r="K30" s="682"/>
      <c r="L30" s="682"/>
      <c r="M30" s="682"/>
      <c r="N30" s="682"/>
      <c r="O30" s="682"/>
      <c r="P30" s="682"/>
      <c r="Q30" s="682"/>
      <c r="R30" s="682"/>
      <c r="S30" s="682"/>
      <c r="T30" s="682"/>
      <c r="U30" s="682"/>
      <c r="V30" s="682"/>
      <c r="W30" s="682"/>
      <c r="X30" s="682"/>
      <c r="Y30" s="682"/>
      <c r="Z30" s="682"/>
      <c r="AA30" s="682"/>
      <c r="AB30" s="682"/>
      <c r="AC30" s="682"/>
      <c r="AD30" s="682"/>
      <c r="AE30" s="682"/>
      <c r="AF30" s="682"/>
      <c r="AG30" s="682"/>
      <c r="AH30" s="682"/>
      <c r="AI30" s="682"/>
      <c r="AJ30" s="682"/>
      <c r="AK30" s="682"/>
      <c r="AL30" s="682"/>
      <c r="AM30" s="31"/>
    </row>
    <row r="31" spans="1:39" ht="18" customHeight="1" x14ac:dyDescent="0.15">
      <c r="A31" s="612"/>
      <c r="B31" s="30"/>
      <c r="C31" s="651" t="s">
        <v>108</v>
      </c>
      <c r="D31" s="651"/>
      <c r="E31" s="651"/>
      <c r="F31" s="651"/>
      <c r="G31" s="651"/>
      <c r="H31" s="651"/>
      <c r="I31" s="613" t="s">
        <v>309</v>
      </c>
      <c r="J31" s="613"/>
      <c r="K31" s="613"/>
      <c r="L31" s="613"/>
      <c r="M31" s="613"/>
      <c r="N31" s="613"/>
      <c r="O31" s="613"/>
      <c r="P31" s="613"/>
      <c r="Q31" s="613"/>
      <c r="R31" s="613"/>
      <c r="S31" s="613"/>
      <c r="T31" s="613"/>
      <c r="U31" s="613"/>
      <c r="V31" s="613"/>
      <c r="W31" s="613"/>
      <c r="X31" s="613"/>
      <c r="Y31" s="613"/>
      <c r="Z31" s="613"/>
      <c r="AA31" s="613"/>
      <c r="AB31" s="613"/>
      <c r="AC31" s="613"/>
      <c r="AD31" s="613"/>
      <c r="AE31" s="613"/>
      <c r="AF31" s="613"/>
      <c r="AG31" s="613"/>
      <c r="AH31" s="613"/>
      <c r="AI31" s="613"/>
      <c r="AJ31" s="613"/>
      <c r="AK31" s="613"/>
      <c r="AL31" s="613"/>
      <c r="AM31" s="31"/>
    </row>
    <row r="32" spans="1:39" ht="18" customHeight="1" x14ac:dyDescent="0.15">
      <c r="A32" s="612"/>
      <c r="B32" s="30"/>
      <c r="C32" s="651"/>
      <c r="D32" s="651"/>
      <c r="E32" s="651"/>
      <c r="F32" s="651"/>
      <c r="G32" s="651"/>
      <c r="H32" s="651"/>
      <c r="I32" s="613"/>
      <c r="J32" s="613"/>
      <c r="K32" s="613"/>
      <c r="L32" s="613"/>
      <c r="M32" s="613"/>
      <c r="N32" s="613"/>
      <c r="O32" s="613"/>
      <c r="P32" s="613"/>
      <c r="Q32" s="613"/>
      <c r="R32" s="613"/>
      <c r="S32" s="613"/>
      <c r="T32" s="613"/>
      <c r="U32" s="613"/>
      <c r="V32" s="613"/>
      <c r="W32" s="613"/>
      <c r="X32" s="613"/>
      <c r="Y32" s="613"/>
      <c r="Z32" s="613"/>
      <c r="AA32" s="613"/>
      <c r="AB32" s="613"/>
      <c r="AC32" s="613"/>
      <c r="AD32" s="613"/>
      <c r="AE32" s="613"/>
      <c r="AF32" s="613"/>
      <c r="AG32" s="613"/>
      <c r="AH32" s="613"/>
      <c r="AI32" s="613"/>
      <c r="AJ32" s="613"/>
      <c r="AK32" s="613"/>
      <c r="AL32" s="613"/>
      <c r="AM32" s="31"/>
    </row>
    <row r="33" spans="1:39" ht="18" customHeight="1" x14ac:dyDescent="0.15">
      <c r="A33" s="612"/>
      <c r="B33" s="30"/>
      <c r="C33" s="703"/>
      <c r="D33" s="703"/>
      <c r="E33" s="703"/>
      <c r="F33" s="703"/>
      <c r="G33" s="703"/>
      <c r="H33" s="703"/>
      <c r="I33" s="703"/>
      <c r="J33" s="703"/>
      <c r="K33" s="703"/>
      <c r="L33" s="703"/>
      <c r="M33" s="703"/>
      <c r="N33" s="703"/>
      <c r="O33" s="703"/>
      <c r="P33" s="703"/>
      <c r="Q33" s="703"/>
      <c r="R33" s="703"/>
      <c r="S33" s="703"/>
      <c r="T33" s="703"/>
      <c r="U33" s="703"/>
      <c r="V33" s="703"/>
      <c r="W33" s="703"/>
      <c r="X33" s="703"/>
      <c r="Y33" s="703"/>
      <c r="Z33" s="703"/>
      <c r="AA33" s="703"/>
      <c r="AB33" s="703"/>
      <c r="AC33" s="703"/>
      <c r="AD33" s="703"/>
      <c r="AE33" s="703"/>
      <c r="AF33" s="703"/>
      <c r="AG33" s="703"/>
      <c r="AH33" s="703"/>
      <c r="AI33" s="703"/>
      <c r="AJ33" s="703"/>
      <c r="AK33" s="703"/>
      <c r="AL33" s="703"/>
      <c r="AM33" s="31"/>
    </row>
    <row r="34" spans="1:39" ht="18" customHeight="1" x14ac:dyDescent="0.15">
      <c r="A34" s="612"/>
      <c r="B34" s="30"/>
      <c r="C34" s="703"/>
      <c r="D34" s="703"/>
      <c r="E34" s="703"/>
      <c r="F34" s="703"/>
      <c r="G34" s="703"/>
      <c r="H34" s="703"/>
      <c r="I34" s="703"/>
      <c r="J34" s="703"/>
      <c r="K34" s="703"/>
      <c r="L34" s="703"/>
      <c r="M34" s="703"/>
      <c r="N34" s="703"/>
      <c r="O34" s="703"/>
      <c r="P34" s="703"/>
      <c r="Q34" s="703"/>
      <c r="R34" s="703"/>
      <c r="S34" s="703"/>
      <c r="T34" s="703"/>
      <c r="U34" s="703"/>
      <c r="V34" s="703"/>
      <c r="W34" s="703"/>
      <c r="X34" s="703"/>
      <c r="Y34" s="703"/>
      <c r="Z34" s="703"/>
      <c r="AA34" s="703"/>
      <c r="AB34" s="703"/>
      <c r="AC34" s="703"/>
      <c r="AD34" s="703"/>
      <c r="AE34" s="703"/>
      <c r="AF34" s="703"/>
      <c r="AG34" s="703"/>
      <c r="AH34" s="703"/>
      <c r="AI34" s="703"/>
      <c r="AJ34" s="703"/>
      <c r="AK34" s="703"/>
      <c r="AL34" s="703"/>
      <c r="AM34" s="31"/>
    </row>
    <row r="35" spans="1:39" ht="18" customHeight="1" x14ac:dyDescent="0.15">
      <c r="A35" s="612"/>
      <c r="B35" s="30"/>
      <c r="C35" s="703"/>
      <c r="D35" s="703"/>
      <c r="E35" s="703"/>
      <c r="F35" s="703"/>
      <c r="G35" s="703"/>
      <c r="H35" s="703"/>
      <c r="I35" s="703"/>
      <c r="J35" s="703"/>
      <c r="K35" s="703"/>
      <c r="L35" s="703"/>
      <c r="M35" s="703"/>
      <c r="N35" s="703"/>
      <c r="O35" s="703"/>
      <c r="P35" s="703"/>
      <c r="Q35" s="703"/>
      <c r="R35" s="703"/>
      <c r="S35" s="703"/>
      <c r="T35" s="703"/>
      <c r="U35" s="703"/>
      <c r="V35" s="703"/>
      <c r="W35" s="703"/>
      <c r="X35" s="703"/>
      <c r="Y35" s="703"/>
      <c r="Z35" s="703"/>
      <c r="AA35" s="703"/>
      <c r="AB35" s="703"/>
      <c r="AC35" s="703"/>
      <c r="AD35" s="703"/>
      <c r="AE35" s="703"/>
      <c r="AF35" s="703"/>
      <c r="AG35" s="703"/>
      <c r="AH35" s="703"/>
      <c r="AI35" s="703"/>
      <c r="AJ35" s="703"/>
      <c r="AK35" s="703"/>
      <c r="AL35" s="703"/>
      <c r="AM35" s="31"/>
    </row>
    <row r="36" spans="1:39" ht="18" customHeight="1" x14ac:dyDescent="0.15">
      <c r="A36" s="612"/>
      <c r="B36" s="30"/>
      <c r="C36" s="702"/>
      <c r="D36" s="702"/>
      <c r="E36" s="702"/>
      <c r="F36" s="702"/>
      <c r="G36" s="702"/>
      <c r="H36" s="702"/>
      <c r="I36" s="702"/>
      <c r="J36" s="702"/>
      <c r="K36" s="702"/>
      <c r="L36" s="702"/>
      <c r="M36" s="702"/>
      <c r="N36" s="702"/>
      <c r="O36" s="702"/>
      <c r="P36" s="702"/>
      <c r="Q36" s="702"/>
      <c r="R36" s="702"/>
      <c r="S36" s="702"/>
      <c r="T36" s="702"/>
      <c r="U36" s="702"/>
      <c r="V36" s="702"/>
      <c r="W36" s="702"/>
      <c r="X36" s="702"/>
      <c r="Y36" s="702"/>
      <c r="Z36" s="702"/>
      <c r="AA36" s="702"/>
      <c r="AB36" s="702"/>
      <c r="AC36" s="702"/>
      <c r="AD36" s="702"/>
      <c r="AE36" s="702"/>
      <c r="AF36" s="702"/>
      <c r="AG36" s="702"/>
      <c r="AH36" s="702"/>
      <c r="AI36" s="702"/>
      <c r="AJ36" s="702"/>
      <c r="AK36" s="702"/>
      <c r="AL36" s="702"/>
      <c r="AM36" s="31"/>
    </row>
    <row r="37" spans="1:39" ht="7.5" customHeight="1" x14ac:dyDescent="0.15">
      <c r="A37" s="612"/>
      <c r="B37" s="30"/>
      <c r="C37" s="624" t="s">
        <v>107</v>
      </c>
      <c r="D37" s="625"/>
      <c r="E37" s="625"/>
      <c r="F37" s="625"/>
      <c r="G37" s="625"/>
      <c r="H37" s="625"/>
      <c r="I37" s="625"/>
      <c r="J37" s="625"/>
      <c r="K37" s="625"/>
      <c r="L37" s="625"/>
      <c r="M37" s="625"/>
      <c r="N37" s="625"/>
      <c r="O37" s="625"/>
      <c r="P37" s="625"/>
      <c r="Q37" s="625"/>
      <c r="R37" s="625"/>
      <c r="S37" s="625"/>
      <c r="T37" s="625"/>
      <c r="U37" s="625"/>
      <c r="V37" s="625"/>
      <c r="W37" s="626"/>
      <c r="X37" s="617"/>
      <c r="Y37" s="612"/>
      <c r="Z37" s="612"/>
      <c r="AA37" s="612"/>
      <c r="AB37" s="612"/>
      <c r="AC37" s="612"/>
      <c r="AD37" s="612"/>
      <c r="AE37" s="612"/>
      <c r="AF37" s="612"/>
      <c r="AG37" s="612"/>
      <c r="AH37" s="612"/>
      <c r="AI37" s="612"/>
      <c r="AJ37" s="612"/>
      <c r="AK37" s="612"/>
      <c r="AL37" s="612"/>
      <c r="AM37" s="31"/>
    </row>
    <row r="38" spans="1:39" ht="15" customHeight="1" x14ac:dyDescent="0.15">
      <c r="A38" s="612"/>
      <c r="B38" s="30"/>
      <c r="C38" s="627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8"/>
      <c r="P38" s="628"/>
      <c r="Q38" s="628"/>
      <c r="R38" s="628"/>
      <c r="S38" s="628"/>
      <c r="T38" s="628"/>
      <c r="U38" s="628"/>
      <c r="V38" s="628"/>
      <c r="W38" s="629"/>
      <c r="X38" s="679"/>
      <c r="Y38" s="680"/>
      <c r="Z38" s="680"/>
      <c r="AA38" s="680"/>
      <c r="AB38" s="680"/>
      <c r="AC38" s="681"/>
      <c r="AD38" s="614" t="s">
        <v>106</v>
      </c>
      <c r="AE38" s="615"/>
      <c r="AF38" s="615"/>
      <c r="AG38" s="615"/>
      <c r="AH38" s="615"/>
      <c r="AI38" s="615"/>
      <c r="AJ38" s="615"/>
      <c r="AK38" s="615"/>
      <c r="AL38" s="616"/>
      <c r="AM38" s="31"/>
    </row>
    <row r="39" spans="1:39" s="42" customFormat="1" ht="12" customHeight="1" x14ac:dyDescent="0.15">
      <c r="A39" s="612"/>
      <c r="B39" s="30"/>
      <c r="C39" s="614" t="s">
        <v>2</v>
      </c>
      <c r="D39" s="615"/>
      <c r="E39" s="615"/>
      <c r="F39" s="615"/>
      <c r="G39" s="615"/>
      <c r="H39" s="616"/>
      <c r="I39" s="614" t="s">
        <v>105</v>
      </c>
      <c r="J39" s="615"/>
      <c r="K39" s="615"/>
      <c r="L39" s="615"/>
      <c r="M39" s="615"/>
      <c r="N39" s="616"/>
      <c r="O39" s="614" t="s">
        <v>104</v>
      </c>
      <c r="P39" s="615"/>
      <c r="Q39" s="615"/>
      <c r="R39" s="616"/>
      <c r="S39" s="614" t="s">
        <v>103</v>
      </c>
      <c r="T39" s="615"/>
      <c r="U39" s="615"/>
      <c r="V39" s="615"/>
      <c r="W39" s="615"/>
      <c r="X39" s="615"/>
      <c r="Y39" s="615"/>
      <c r="Z39" s="615"/>
      <c r="AA39" s="615"/>
      <c r="AB39" s="615"/>
      <c r="AC39" s="616"/>
      <c r="AD39" s="614" t="s">
        <v>102</v>
      </c>
      <c r="AE39" s="615"/>
      <c r="AF39" s="616"/>
      <c r="AG39" s="614" t="s">
        <v>101</v>
      </c>
      <c r="AH39" s="615"/>
      <c r="AI39" s="616"/>
      <c r="AJ39" s="614" t="s">
        <v>100</v>
      </c>
      <c r="AK39" s="615"/>
      <c r="AL39" s="616"/>
      <c r="AM39" s="41"/>
    </row>
    <row r="40" spans="1:39" ht="18" customHeight="1" x14ac:dyDescent="0.15">
      <c r="A40" s="612"/>
      <c r="B40" s="30"/>
      <c r="C40" s="618"/>
      <c r="D40" s="618"/>
      <c r="E40" s="618"/>
      <c r="F40" s="618"/>
      <c r="G40" s="618"/>
      <c r="H40" s="618"/>
      <c r="I40" s="619"/>
      <c r="J40" s="619"/>
      <c r="K40" s="619"/>
      <c r="L40" s="619"/>
      <c r="M40" s="619"/>
      <c r="N40" s="619"/>
      <c r="O40" s="618"/>
      <c r="P40" s="618"/>
      <c r="Q40" s="618"/>
      <c r="R40" s="618"/>
      <c r="S40" s="620"/>
      <c r="T40" s="621"/>
      <c r="U40" s="621"/>
      <c r="V40" s="621"/>
      <c r="W40" s="621"/>
      <c r="X40" s="621"/>
      <c r="Y40" s="621"/>
      <c r="Z40" s="621"/>
      <c r="AA40" s="621"/>
      <c r="AB40" s="621"/>
      <c r="AC40" s="622"/>
      <c r="AD40" s="623"/>
      <c r="AE40" s="623"/>
      <c r="AF40" s="623"/>
      <c r="AG40" s="623"/>
      <c r="AH40" s="623"/>
      <c r="AI40" s="623"/>
      <c r="AJ40" s="623"/>
      <c r="AK40" s="623"/>
      <c r="AL40" s="623"/>
      <c r="AM40" s="31"/>
    </row>
    <row r="41" spans="1:39" ht="18" customHeight="1" x14ac:dyDescent="0.15">
      <c r="A41" s="612"/>
      <c r="B41" s="30"/>
      <c r="C41" s="618"/>
      <c r="D41" s="618"/>
      <c r="E41" s="618"/>
      <c r="F41" s="618"/>
      <c r="G41" s="618"/>
      <c r="H41" s="618"/>
      <c r="I41" s="619"/>
      <c r="J41" s="619"/>
      <c r="K41" s="619"/>
      <c r="L41" s="619"/>
      <c r="M41" s="619"/>
      <c r="N41" s="619"/>
      <c r="O41" s="618"/>
      <c r="P41" s="618"/>
      <c r="Q41" s="618"/>
      <c r="R41" s="618"/>
      <c r="S41" s="620"/>
      <c r="T41" s="621"/>
      <c r="U41" s="621"/>
      <c r="V41" s="621"/>
      <c r="W41" s="621"/>
      <c r="X41" s="621"/>
      <c r="Y41" s="621"/>
      <c r="Z41" s="621"/>
      <c r="AA41" s="621"/>
      <c r="AB41" s="621"/>
      <c r="AC41" s="622"/>
      <c r="AD41" s="623"/>
      <c r="AE41" s="623"/>
      <c r="AF41" s="623"/>
      <c r="AG41" s="623"/>
      <c r="AH41" s="623"/>
      <c r="AI41" s="623"/>
      <c r="AJ41" s="623"/>
      <c r="AK41" s="623"/>
      <c r="AL41" s="623"/>
      <c r="AM41" s="31"/>
    </row>
    <row r="42" spans="1:39" ht="18" customHeight="1" x14ac:dyDescent="0.15">
      <c r="A42" s="612"/>
      <c r="B42" s="30"/>
      <c r="C42" s="618"/>
      <c r="D42" s="618"/>
      <c r="E42" s="618"/>
      <c r="F42" s="618"/>
      <c r="G42" s="618"/>
      <c r="H42" s="618"/>
      <c r="I42" s="619"/>
      <c r="J42" s="619"/>
      <c r="K42" s="619"/>
      <c r="L42" s="619"/>
      <c r="M42" s="619"/>
      <c r="N42" s="619"/>
      <c r="O42" s="618"/>
      <c r="P42" s="618"/>
      <c r="Q42" s="618"/>
      <c r="R42" s="618"/>
      <c r="S42" s="620"/>
      <c r="T42" s="621"/>
      <c r="U42" s="621"/>
      <c r="V42" s="621"/>
      <c r="W42" s="621"/>
      <c r="X42" s="621"/>
      <c r="Y42" s="621"/>
      <c r="Z42" s="621"/>
      <c r="AA42" s="621"/>
      <c r="AB42" s="621"/>
      <c r="AC42" s="622"/>
      <c r="AD42" s="623"/>
      <c r="AE42" s="623"/>
      <c r="AF42" s="623"/>
      <c r="AG42" s="623"/>
      <c r="AH42" s="623"/>
      <c r="AI42" s="623"/>
      <c r="AJ42" s="623"/>
      <c r="AK42" s="623"/>
      <c r="AL42" s="623"/>
      <c r="AM42" s="31"/>
    </row>
    <row r="43" spans="1:39" ht="18" customHeight="1" x14ac:dyDescent="0.15">
      <c r="A43" s="612"/>
      <c r="B43" s="30"/>
      <c r="C43" s="618"/>
      <c r="D43" s="618"/>
      <c r="E43" s="618"/>
      <c r="F43" s="618"/>
      <c r="G43" s="618"/>
      <c r="H43" s="618"/>
      <c r="I43" s="619"/>
      <c r="J43" s="619"/>
      <c r="K43" s="619"/>
      <c r="L43" s="619"/>
      <c r="M43" s="619"/>
      <c r="N43" s="619"/>
      <c r="O43" s="618"/>
      <c r="P43" s="618"/>
      <c r="Q43" s="618"/>
      <c r="R43" s="618"/>
      <c r="S43" s="620"/>
      <c r="T43" s="621"/>
      <c r="U43" s="621"/>
      <c r="V43" s="621"/>
      <c r="W43" s="621"/>
      <c r="X43" s="621"/>
      <c r="Y43" s="621"/>
      <c r="Z43" s="621"/>
      <c r="AA43" s="621"/>
      <c r="AB43" s="621"/>
      <c r="AC43" s="622"/>
      <c r="AD43" s="623"/>
      <c r="AE43" s="623"/>
      <c r="AF43" s="623"/>
      <c r="AG43" s="623"/>
      <c r="AH43" s="623"/>
      <c r="AI43" s="623"/>
      <c r="AJ43" s="623"/>
      <c r="AK43" s="623"/>
      <c r="AL43" s="623"/>
      <c r="AM43" s="31"/>
    </row>
    <row r="44" spans="1:39" ht="18" customHeight="1" x14ac:dyDescent="0.15">
      <c r="A44" s="612"/>
      <c r="B44" s="30"/>
      <c r="C44" s="618"/>
      <c r="D44" s="618"/>
      <c r="E44" s="618"/>
      <c r="F44" s="618"/>
      <c r="G44" s="618"/>
      <c r="H44" s="618"/>
      <c r="I44" s="619"/>
      <c r="J44" s="619"/>
      <c r="K44" s="619"/>
      <c r="L44" s="619"/>
      <c r="M44" s="619"/>
      <c r="N44" s="619"/>
      <c r="O44" s="618"/>
      <c r="P44" s="618"/>
      <c r="Q44" s="618"/>
      <c r="R44" s="618"/>
      <c r="S44" s="620"/>
      <c r="T44" s="621"/>
      <c r="U44" s="621"/>
      <c r="V44" s="621"/>
      <c r="W44" s="621"/>
      <c r="X44" s="621"/>
      <c r="Y44" s="621"/>
      <c r="Z44" s="621"/>
      <c r="AA44" s="621"/>
      <c r="AB44" s="621"/>
      <c r="AC44" s="622"/>
      <c r="AD44" s="623"/>
      <c r="AE44" s="623"/>
      <c r="AF44" s="623"/>
      <c r="AG44" s="623"/>
      <c r="AH44" s="623"/>
      <c r="AI44" s="623"/>
      <c r="AJ44" s="623"/>
      <c r="AK44" s="623"/>
      <c r="AL44" s="623"/>
      <c r="AM44" s="31"/>
    </row>
    <row r="45" spans="1:39" ht="18" customHeight="1" x14ac:dyDescent="0.15">
      <c r="A45" s="612"/>
      <c r="B45" s="30"/>
      <c r="C45" s="618"/>
      <c r="D45" s="618"/>
      <c r="E45" s="618"/>
      <c r="F45" s="618"/>
      <c r="G45" s="618"/>
      <c r="H45" s="618"/>
      <c r="I45" s="619"/>
      <c r="J45" s="619"/>
      <c r="K45" s="619"/>
      <c r="L45" s="619"/>
      <c r="M45" s="619"/>
      <c r="N45" s="619"/>
      <c r="O45" s="618"/>
      <c r="P45" s="618"/>
      <c r="Q45" s="618"/>
      <c r="R45" s="618"/>
      <c r="S45" s="620"/>
      <c r="T45" s="621"/>
      <c r="U45" s="621"/>
      <c r="V45" s="621"/>
      <c r="W45" s="621"/>
      <c r="X45" s="621"/>
      <c r="Y45" s="621"/>
      <c r="Z45" s="621"/>
      <c r="AA45" s="621"/>
      <c r="AB45" s="621"/>
      <c r="AC45" s="622"/>
      <c r="AD45" s="623"/>
      <c r="AE45" s="623"/>
      <c r="AF45" s="623"/>
      <c r="AG45" s="623"/>
      <c r="AH45" s="623"/>
      <c r="AI45" s="623"/>
      <c r="AJ45" s="623"/>
      <c r="AK45" s="623"/>
      <c r="AL45" s="623"/>
      <c r="AM45" s="31"/>
    </row>
    <row r="46" spans="1:39" ht="18" customHeight="1" x14ac:dyDescent="0.15">
      <c r="A46" s="612"/>
      <c r="B46" s="30"/>
      <c r="C46" s="618"/>
      <c r="D46" s="618"/>
      <c r="E46" s="618"/>
      <c r="F46" s="618"/>
      <c r="G46" s="618"/>
      <c r="H46" s="618"/>
      <c r="I46" s="619"/>
      <c r="J46" s="619"/>
      <c r="K46" s="619"/>
      <c r="L46" s="619"/>
      <c r="M46" s="619"/>
      <c r="N46" s="619"/>
      <c r="O46" s="618"/>
      <c r="P46" s="618"/>
      <c r="Q46" s="618"/>
      <c r="R46" s="618"/>
      <c r="S46" s="620"/>
      <c r="T46" s="621"/>
      <c r="U46" s="621"/>
      <c r="V46" s="621"/>
      <c r="W46" s="621"/>
      <c r="X46" s="621"/>
      <c r="Y46" s="621"/>
      <c r="Z46" s="621"/>
      <c r="AA46" s="621"/>
      <c r="AB46" s="621"/>
      <c r="AC46" s="622"/>
      <c r="AD46" s="623"/>
      <c r="AE46" s="623"/>
      <c r="AF46" s="623"/>
      <c r="AG46" s="623"/>
      <c r="AH46" s="623"/>
      <c r="AI46" s="623"/>
      <c r="AJ46" s="623"/>
      <c r="AK46" s="623"/>
      <c r="AL46" s="623"/>
      <c r="AM46" s="31"/>
    </row>
    <row r="47" spans="1:39" ht="18" customHeight="1" x14ac:dyDescent="0.15">
      <c r="A47" s="612"/>
      <c r="B47" s="30"/>
      <c r="C47" s="618"/>
      <c r="D47" s="618"/>
      <c r="E47" s="618"/>
      <c r="F47" s="618"/>
      <c r="G47" s="618"/>
      <c r="H47" s="618"/>
      <c r="I47" s="619"/>
      <c r="J47" s="619"/>
      <c r="K47" s="619"/>
      <c r="L47" s="619"/>
      <c r="M47" s="619"/>
      <c r="N47" s="619"/>
      <c r="O47" s="618"/>
      <c r="P47" s="618"/>
      <c r="Q47" s="618"/>
      <c r="R47" s="618"/>
      <c r="S47" s="620"/>
      <c r="T47" s="621"/>
      <c r="U47" s="621"/>
      <c r="V47" s="621"/>
      <c r="W47" s="621"/>
      <c r="X47" s="621"/>
      <c r="Y47" s="621"/>
      <c r="Z47" s="621"/>
      <c r="AA47" s="621"/>
      <c r="AB47" s="621"/>
      <c r="AC47" s="622"/>
      <c r="AD47" s="623"/>
      <c r="AE47" s="623"/>
      <c r="AF47" s="623"/>
      <c r="AG47" s="623"/>
      <c r="AH47" s="623"/>
      <c r="AI47" s="623"/>
      <c r="AJ47" s="623"/>
      <c r="AK47" s="623"/>
      <c r="AL47" s="623"/>
      <c r="AM47" s="31"/>
    </row>
    <row r="48" spans="1:39" ht="7.5" customHeight="1" x14ac:dyDescent="0.15">
      <c r="A48" s="612"/>
      <c r="B48" s="30"/>
      <c r="C48" s="683"/>
      <c r="D48" s="683"/>
      <c r="E48" s="683"/>
      <c r="F48" s="683"/>
      <c r="G48" s="683"/>
      <c r="H48" s="683"/>
      <c r="I48" s="683"/>
      <c r="J48" s="683"/>
      <c r="K48" s="683"/>
      <c r="L48" s="683"/>
      <c r="M48" s="683"/>
      <c r="N48" s="683"/>
      <c r="O48" s="683"/>
      <c r="P48" s="683"/>
      <c r="Q48" s="683"/>
      <c r="R48" s="683"/>
      <c r="S48" s="683"/>
      <c r="T48" s="683"/>
      <c r="U48" s="683"/>
      <c r="V48" s="683"/>
      <c r="W48" s="683"/>
      <c r="X48" s="683"/>
      <c r="Y48" s="683"/>
      <c r="Z48" s="683"/>
      <c r="AA48" s="683"/>
      <c r="AB48" s="683"/>
      <c r="AC48" s="683"/>
      <c r="AD48" s="683"/>
      <c r="AE48" s="683"/>
      <c r="AF48" s="683"/>
      <c r="AG48" s="683"/>
      <c r="AH48" s="683"/>
      <c r="AI48" s="683"/>
      <c r="AJ48" s="683"/>
      <c r="AK48" s="683"/>
      <c r="AL48" s="683"/>
      <c r="AM48" s="31"/>
    </row>
    <row r="49" spans="1:39" ht="15" customHeight="1" x14ac:dyDescent="0.15">
      <c r="A49" s="612"/>
      <c r="B49" s="30"/>
      <c r="C49" s="684" t="s">
        <v>99</v>
      </c>
      <c r="D49" s="684"/>
      <c r="E49" s="684"/>
      <c r="F49" s="684"/>
      <c r="G49" s="684"/>
      <c r="H49" s="684"/>
      <c r="I49" s="684"/>
      <c r="J49" s="685"/>
      <c r="K49" s="685"/>
      <c r="L49" s="684" t="s">
        <v>98</v>
      </c>
      <c r="M49" s="684"/>
      <c r="N49" s="684"/>
      <c r="O49" s="684"/>
      <c r="P49" s="684"/>
      <c r="Q49" s="684"/>
      <c r="R49" s="684"/>
      <c r="S49" s="684"/>
      <c r="T49" s="684"/>
      <c r="U49" s="684"/>
      <c r="V49" s="684"/>
      <c r="W49" s="684"/>
      <c r="X49" s="684"/>
      <c r="Y49" s="684"/>
      <c r="Z49" s="684"/>
      <c r="AA49" s="684"/>
      <c r="AB49" s="684"/>
      <c r="AC49" s="684"/>
      <c r="AD49" s="684"/>
      <c r="AE49" s="684"/>
      <c r="AF49" s="684"/>
      <c r="AG49" s="684"/>
      <c r="AH49" s="684"/>
      <c r="AI49" s="684"/>
      <c r="AJ49" s="684"/>
      <c r="AK49" s="684"/>
      <c r="AL49" s="684"/>
      <c r="AM49" s="31"/>
    </row>
    <row r="50" spans="1:39" ht="12.75" customHeight="1" x14ac:dyDescent="0.15">
      <c r="A50" s="612"/>
      <c r="B50" s="30"/>
      <c r="C50" s="652"/>
      <c r="D50" s="652"/>
      <c r="E50" s="652"/>
      <c r="F50" s="652"/>
      <c r="G50" s="652"/>
      <c r="H50" s="652"/>
      <c r="I50" s="652"/>
      <c r="J50" s="652"/>
      <c r="K50" s="652"/>
      <c r="L50" s="652"/>
      <c r="M50" s="652"/>
      <c r="N50" s="652"/>
      <c r="O50" s="652"/>
      <c r="P50" s="652"/>
      <c r="Q50" s="652"/>
      <c r="R50" s="652"/>
      <c r="S50" s="652"/>
      <c r="T50" s="652"/>
      <c r="U50" s="652"/>
      <c r="V50" s="652"/>
      <c r="W50" s="652"/>
      <c r="X50" s="652"/>
      <c r="Y50" s="652"/>
      <c r="Z50" s="652"/>
      <c r="AA50" s="652"/>
      <c r="AB50" s="652"/>
      <c r="AC50" s="652"/>
      <c r="AD50" s="652"/>
      <c r="AE50" s="652"/>
      <c r="AF50" s="652"/>
      <c r="AG50" s="652"/>
      <c r="AH50" s="652"/>
      <c r="AI50" s="652"/>
      <c r="AJ50" s="652"/>
      <c r="AK50" s="652"/>
      <c r="AL50" s="652"/>
      <c r="AM50" s="31"/>
    </row>
    <row r="51" spans="1:39" ht="15" customHeight="1" x14ac:dyDescent="0.15">
      <c r="B51" s="611" t="s">
        <v>97</v>
      </c>
      <c r="C51" s="611"/>
      <c r="D51" s="611"/>
      <c r="E51" s="611"/>
      <c r="F51" s="611"/>
      <c r="G51" s="611"/>
      <c r="H51" s="611"/>
      <c r="I51" s="611"/>
      <c r="J51" s="611"/>
      <c r="K51" s="611"/>
      <c r="L51" s="611"/>
      <c r="M51" s="614" t="s">
        <v>96</v>
      </c>
      <c r="N51" s="615"/>
      <c r="O51" s="615"/>
      <c r="P51" s="615"/>
      <c r="Q51" s="615"/>
      <c r="R51" s="615"/>
      <c r="S51" s="615"/>
      <c r="T51" s="615"/>
      <c r="U51" s="615"/>
      <c r="V51" s="616"/>
      <c r="W51" s="633" t="s">
        <v>95</v>
      </c>
      <c r="X51" s="633"/>
      <c r="Y51" s="633"/>
      <c r="Z51" s="633"/>
      <c r="AA51" s="633"/>
      <c r="AB51" s="633"/>
      <c r="AC51" s="633"/>
      <c r="AD51" s="633"/>
      <c r="AE51" s="633"/>
      <c r="AF51" s="633"/>
      <c r="AG51" s="633"/>
      <c r="AH51" s="634"/>
      <c r="AI51" s="634"/>
      <c r="AJ51" s="634"/>
      <c r="AK51" s="634"/>
      <c r="AL51" s="634"/>
      <c r="AM51" s="634"/>
    </row>
    <row r="52" spans="1:39" ht="15" customHeight="1" x14ac:dyDescent="0.15">
      <c r="B52" s="688" t="s">
        <v>312</v>
      </c>
      <c r="C52" s="653"/>
      <c r="D52" s="653"/>
      <c r="E52" s="653"/>
      <c r="F52" s="653"/>
      <c r="G52" s="653"/>
      <c r="H52" s="653"/>
      <c r="I52" s="653"/>
      <c r="J52" s="653"/>
      <c r="K52" s="653"/>
      <c r="L52" s="689"/>
      <c r="M52" s="603" t="s">
        <v>127</v>
      </c>
      <c r="N52" s="603"/>
      <c r="O52" s="603"/>
      <c r="P52" s="603"/>
      <c r="Q52" s="603"/>
      <c r="R52" s="603"/>
      <c r="S52" s="603"/>
      <c r="T52" s="603"/>
      <c r="U52" s="603"/>
      <c r="V52" s="604"/>
      <c r="W52" s="692" t="s">
        <v>133</v>
      </c>
      <c r="X52" s="693"/>
      <c r="Y52" s="693"/>
      <c r="Z52" s="693"/>
      <c r="AA52" s="693"/>
      <c r="AB52" s="693"/>
      <c r="AC52" s="693"/>
      <c r="AD52" s="693"/>
      <c r="AE52" s="693"/>
      <c r="AF52" s="698" t="str">
        <f>Wagenliste!A42</f>
        <v>28. 02 2026</v>
      </c>
      <c r="AG52" s="693"/>
      <c r="AH52" s="693"/>
      <c r="AI52" s="693"/>
      <c r="AJ52" s="693"/>
      <c r="AK52" s="693"/>
      <c r="AL52" s="693"/>
      <c r="AM52" s="699"/>
    </row>
    <row r="53" spans="1:39" ht="15" customHeight="1" x14ac:dyDescent="0.15">
      <c r="B53" s="617"/>
      <c r="C53" s="612"/>
      <c r="D53" s="612"/>
      <c r="E53" s="612"/>
      <c r="F53" s="612"/>
      <c r="G53" s="612"/>
      <c r="H53" s="612"/>
      <c r="I53" s="612"/>
      <c r="J53" s="612"/>
      <c r="K53" s="612"/>
      <c r="L53" s="672"/>
      <c r="M53" s="605" t="s">
        <v>128</v>
      </c>
      <c r="N53" s="605"/>
      <c r="O53" s="605"/>
      <c r="P53" s="605"/>
      <c r="Q53" s="605"/>
      <c r="R53" s="605"/>
      <c r="S53" s="605"/>
      <c r="T53" s="605"/>
      <c r="U53" s="605"/>
      <c r="V53" s="606"/>
      <c r="W53" s="694"/>
      <c r="X53" s="695"/>
      <c r="Y53" s="695"/>
      <c r="Z53" s="695"/>
      <c r="AA53" s="695"/>
      <c r="AB53" s="695"/>
      <c r="AC53" s="695"/>
      <c r="AD53" s="695"/>
      <c r="AE53" s="695"/>
      <c r="AF53" s="695"/>
      <c r="AG53" s="695"/>
      <c r="AH53" s="695"/>
      <c r="AI53" s="695"/>
      <c r="AJ53" s="695"/>
      <c r="AK53" s="695"/>
      <c r="AL53" s="695"/>
      <c r="AM53" s="700"/>
    </row>
    <row r="54" spans="1:39" ht="15" customHeight="1" x14ac:dyDescent="0.15">
      <c r="B54" s="617"/>
      <c r="C54" s="612"/>
      <c r="D54" s="612"/>
      <c r="E54" s="612"/>
      <c r="F54" s="612"/>
      <c r="G54" s="612"/>
      <c r="H54" s="612"/>
      <c r="I54" s="612"/>
      <c r="J54" s="612"/>
      <c r="K54" s="612"/>
      <c r="L54" s="672"/>
      <c r="M54" s="607" t="s">
        <v>129</v>
      </c>
      <c r="N54" s="607"/>
      <c r="O54" s="607"/>
      <c r="P54" s="607"/>
      <c r="Q54" s="607"/>
      <c r="R54" s="607"/>
      <c r="S54" s="607"/>
      <c r="T54" s="607"/>
      <c r="U54" s="607"/>
      <c r="V54" s="608"/>
      <c r="W54" s="694"/>
      <c r="X54" s="695"/>
      <c r="Y54" s="695"/>
      <c r="Z54" s="695"/>
      <c r="AA54" s="695"/>
      <c r="AB54" s="695"/>
      <c r="AC54" s="695"/>
      <c r="AD54" s="695"/>
      <c r="AE54" s="695"/>
      <c r="AF54" s="695"/>
      <c r="AG54" s="695"/>
      <c r="AH54" s="695"/>
      <c r="AI54" s="695"/>
      <c r="AJ54" s="695"/>
      <c r="AK54" s="695"/>
      <c r="AL54" s="695"/>
      <c r="AM54" s="700"/>
    </row>
    <row r="55" spans="1:39" ht="15" customHeight="1" x14ac:dyDescent="0.15">
      <c r="B55" s="690"/>
      <c r="C55" s="652"/>
      <c r="D55" s="652"/>
      <c r="E55" s="652"/>
      <c r="F55" s="652"/>
      <c r="G55" s="652"/>
      <c r="H55" s="652"/>
      <c r="I55" s="652"/>
      <c r="J55" s="652"/>
      <c r="K55" s="652"/>
      <c r="L55" s="691"/>
      <c r="M55" s="609" t="s">
        <v>130</v>
      </c>
      <c r="N55" s="609"/>
      <c r="O55" s="609"/>
      <c r="P55" s="609"/>
      <c r="Q55" s="609"/>
      <c r="R55" s="609"/>
      <c r="S55" s="609"/>
      <c r="T55" s="609"/>
      <c r="U55" s="609"/>
      <c r="V55" s="610"/>
      <c r="W55" s="696"/>
      <c r="X55" s="697"/>
      <c r="Y55" s="697"/>
      <c r="Z55" s="697"/>
      <c r="AA55" s="697"/>
      <c r="AB55" s="697"/>
      <c r="AC55" s="697"/>
      <c r="AD55" s="697"/>
      <c r="AE55" s="697"/>
      <c r="AF55" s="697"/>
      <c r="AG55" s="697"/>
      <c r="AH55" s="697"/>
      <c r="AI55" s="697"/>
      <c r="AJ55" s="697"/>
      <c r="AK55" s="697"/>
      <c r="AL55" s="697"/>
      <c r="AM55" s="701"/>
    </row>
    <row r="57" spans="1:39" ht="15" customHeight="1" x14ac:dyDescent="0.15">
      <c r="B57" s="43"/>
      <c r="J57" s="43"/>
      <c r="S57" s="43"/>
    </row>
    <row r="59" spans="1:39" ht="15" customHeight="1" x14ac:dyDescent="0.15"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</row>
    <row r="60" spans="1:39" ht="15" customHeight="1" x14ac:dyDescent="0.15">
      <c r="B60" s="43"/>
      <c r="K60" s="43"/>
      <c r="V60" s="43"/>
    </row>
    <row r="61" spans="1:39" ht="15" customHeight="1" x14ac:dyDescent="0.15">
      <c r="B61" s="43"/>
      <c r="K61" s="43"/>
    </row>
    <row r="63" spans="1:39" ht="15" customHeight="1" x14ac:dyDescent="0.15">
      <c r="B63" s="45"/>
    </row>
    <row r="68" spans="2:36" ht="15" customHeight="1" x14ac:dyDescent="0.15"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</row>
    <row r="69" spans="2:36" ht="15" customHeight="1" x14ac:dyDescent="0.15"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</row>
    <row r="70" spans="2:36" ht="15" customHeight="1" x14ac:dyDescent="0.15"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</row>
    <row r="71" spans="2:36" ht="15" customHeight="1" x14ac:dyDescent="0.15"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</row>
    <row r="72" spans="2:36" ht="15" customHeight="1" x14ac:dyDescent="0.15"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</row>
  </sheetData>
  <sheetProtection formatCells="0"/>
  <protectedRanges>
    <protectedRange sqref="H7" name="B02  Schadensprotokoll Nr."/>
    <protectedRange sqref="F9:F10" name="B04 A  Sendungsnummer"/>
    <protectedRange sqref="G9:G10" name="B04 B  Sendungsnummer"/>
    <protectedRange sqref="H9:H10" name="B04 C  Sendungsnummer"/>
    <protectedRange sqref="I9:I10" name="B04 D  Sendungsnummer"/>
    <protectedRange sqref="J9:J10" name="B04 E  Sendungsnummer"/>
    <protectedRange sqref="K9:K10" name="B04 F  Sendungsnummer"/>
    <protectedRange sqref="L9:L10" name="B04 G  Sendungsnummer"/>
    <protectedRange sqref="M9:M10" name="B04 H  Sendungsnummer"/>
    <protectedRange sqref="N9:N10" name="B04 I  Sendungsnummer"/>
    <protectedRange sqref="O9:O10" name="B04 J  Sendungsnummer"/>
    <protectedRange sqref="P9:P10 R9:S9 C11 V9:W9" name="B04 K  Sendungsnummer"/>
    <protectedRange sqref="Q9:Q10 T9 D11" name="B04 L  Sendungsnummer"/>
    <protectedRange sqref="R10 U9 E11" name="B04 M  Sendungsnummer"/>
    <protectedRange sqref="S10 F11" name="B04 N  Sendungsnummer"/>
    <protectedRange sqref="F30" name="B16 A  WagenNr"/>
    <protectedRange sqref="G30" name="B16 B  WagenNr"/>
    <protectedRange sqref="H30" name="B16 C  WagenNr"/>
    <protectedRange sqref="I30" name="B16 D  WagenNr"/>
    <protectedRange sqref="J30" name="B16 E  WagenNr"/>
    <protectedRange sqref="K30" name="B16 F  WagenNr"/>
    <protectedRange sqref="L30" name="B16 G  WagenNr"/>
    <protectedRange sqref="M30" name="B16 H  WagenNr"/>
    <protectedRange sqref="N30" name="B16 I  WagenNr"/>
    <protectedRange sqref="C4 E3" name="B04 A  Sendungsnummer_2_1"/>
    <protectedRange sqref="I6" name="B04 B  Sendungsnummer_2_1"/>
    <protectedRange sqref="B2" name="B04 M  Sendungsnummer_2_1"/>
  </protectedRanges>
  <mergeCells count="148">
    <mergeCell ref="G15:K15"/>
    <mergeCell ref="C15:F15"/>
    <mergeCell ref="M15:O15"/>
    <mergeCell ref="P15:U15"/>
    <mergeCell ref="B52:L55"/>
    <mergeCell ref="W52:AE55"/>
    <mergeCell ref="AF52:AM55"/>
    <mergeCell ref="C50:AL50"/>
    <mergeCell ref="C36:AL36"/>
    <mergeCell ref="C35:AL35"/>
    <mergeCell ref="C34:AL34"/>
    <mergeCell ref="C33:AL33"/>
    <mergeCell ref="I32:AL32"/>
    <mergeCell ref="AJ47:AL47"/>
    <mergeCell ref="C46:H46"/>
    <mergeCell ref="I46:N46"/>
    <mergeCell ref="O46:R46"/>
    <mergeCell ref="S46:AC46"/>
    <mergeCell ref="AD46:AF46"/>
    <mergeCell ref="AG46:AI46"/>
    <mergeCell ref="C47:H47"/>
    <mergeCell ref="I47:N47"/>
    <mergeCell ref="O47:R47"/>
    <mergeCell ref="S47:AC47"/>
    <mergeCell ref="C48:AL48"/>
    <mergeCell ref="C49:I49"/>
    <mergeCell ref="J49:K49"/>
    <mergeCell ref="L49:AL49"/>
    <mergeCell ref="AJ46:AL46"/>
    <mergeCell ref="AJ44:AL44"/>
    <mergeCell ref="C45:H45"/>
    <mergeCell ref="I45:N45"/>
    <mergeCell ref="O45:R45"/>
    <mergeCell ref="S45:AC45"/>
    <mergeCell ref="AD45:AF45"/>
    <mergeCell ref="AG45:AI45"/>
    <mergeCell ref="AJ45:AL45"/>
    <mergeCell ref="C44:H44"/>
    <mergeCell ref="I44:N44"/>
    <mergeCell ref="C41:H41"/>
    <mergeCell ref="I41:N41"/>
    <mergeCell ref="C42:H42"/>
    <mergeCell ref="O42:R42"/>
    <mergeCell ref="S42:AC42"/>
    <mergeCell ref="AD42:AF42"/>
    <mergeCell ref="I42:N42"/>
    <mergeCell ref="AD47:AF47"/>
    <mergeCell ref="AG47:AI47"/>
    <mergeCell ref="O44:R44"/>
    <mergeCell ref="S44:AC44"/>
    <mergeCell ref="AD44:AF44"/>
    <mergeCell ref="AG44:AI44"/>
    <mergeCell ref="O43:R43"/>
    <mergeCell ref="S43:AC43"/>
    <mergeCell ref="AD43:AF43"/>
    <mergeCell ref="AG43:AI43"/>
    <mergeCell ref="AJ43:AL43"/>
    <mergeCell ref="S39:AC39"/>
    <mergeCell ref="O41:R41"/>
    <mergeCell ref="S41:AC41"/>
    <mergeCell ref="AD41:AF41"/>
    <mergeCell ref="AG41:AI41"/>
    <mergeCell ref="AG42:AI42"/>
    <mergeCell ref="AJ42:AL42"/>
    <mergeCell ref="AJ41:AL41"/>
    <mergeCell ref="G9:K9"/>
    <mergeCell ref="M9:O9"/>
    <mergeCell ref="G11:K11"/>
    <mergeCell ref="M11:O11"/>
    <mergeCell ref="P11:U11"/>
    <mergeCell ref="W11:AL11"/>
    <mergeCell ref="A7:A50"/>
    <mergeCell ref="B7:AM7"/>
    <mergeCell ref="C8:AL8"/>
    <mergeCell ref="C9:F9"/>
    <mergeCell ref="C13:F13"/>
    <mergeCell ref="G13:K13"/>
    <mergeCell ref="M13:O13"/>
    <mergeCell ref="P13:U13"/>
    <mergeCell ref="C11:F11"/>
    <mergeCell ref="C12:V12"/>
    <mergeCell ref="W12:AL13"/>
    <mergeCell ref="X38:AC38"/>
    <mergeCell ref="AD38:AL38"/>
    <mergeCell ref="C29:H29"/>
    <mergeCell ref="I29:T29"/>
    <mergeCell ref="U29:AL29"/>
    <mergeCell ref="C30:AL30"/>
    <mergeCell ref="C31:H32"/>
    <mergeCell ref="M20:N20"/>
    <mergeCell ref="Q20:R20"/>
    <mergeCell ref="M18:N18"/>
    <mergeCell ref="C16:AL16"/>
    <mergeCell ref="C17:AL17"/>
    <mergeCell ref="C19:AL19"/>
    <mergeCell ref="C25:AL25"/>
    <mergeCell ref="C26:AL26"/>
    <mergeCell ref="C27:H27"/>
    <mergeCell ref="O24:Y24"/>
    <mergeCell ref="C21:AL21"/>
    <mergeCell ref="K6:AM6"/>
    <mergeCell ref="W51:AM51"/>
    <mergeCell ref="Q18:R18"/>
    <mergeCell ref="AA20:AL20"/>
    <mergeCell ref="X20:Z20"/>
    <mergeCell ref="C23:AL23"/>
    <mergeCell ref="C22:E22"/>
    <mergeCell ref="F22:AL22"/>
    <mergeCell ref="AI24:AL24"/>
    <mergeCell ref="AG24:AH24"/>
    <mergeCell ref="M51:V51"/>
    <mergeCell ref="P9:U9"/>
    <mergeCell ref="W9:X9"/>
    <mergeCell ref="Y9:AL9"/>
    <mergeCell ref="C10:AL10"/>
    <mergeCell ref="I27:T27"/>
    <mergeCell ref="U27:AL27"/>
    <mergeCell ref="AC24:AF24"/>
    <mergeCell ref="AA24:AB24"/>
    <mergeCell ref="C24:F24"/>
    <mergeCell ref="H24:I24"/>
    <mergeCell ref="L24:M24"/>
    <mergeCell ref="C18:J18"/>
    <mergeCell ref="C20:K20"/>
    <mergeCell ref="M52:V52"/>
    <mergeCell ref="M53:V53"/>
    <mergeCell ref="M54:V54"/>
    <mergeCell ref="M55:V55"/>
    <mergeCell ref="B51:L51"/>
    <mergeCell ref="C28:AL28"/>
    <mergeCell ref="I31:AL31"/>
    <mergeCell ref="C39:H39"/>
    <mergeCell ref="I39:N39"/>
    <mergeCell ref="O39:R39"/>
    <mergeCell ref="AD39:AF39"/>
    <mergeCell ref="AG39:AI39"/>
    <mergeCell ref="X37:AL37"/>
    <mergeCell ref="AJ39:AL39"/>
    <mergeCell ref="C40:H40"/>
    <mergeCell ref="I40:N40"/>
    <mergeCell ref="O40:R40"/>
    <mergeCell ref="S40:AC40"/>
    <mergeCell ref="AD40:AF40"/>
    <mergeCell ref="AG40:AI40"/>
    <mergeCell ref="AJ40:AL40"/>
    <mergeCell ref="C37:W38"/>
    <mergeCell ref="C43:H43"/>
    <mergeCell ref="I43:N43"/>
  </mergeCells>
  <pageMargins left="0.7" right="0.7" top="0.75" bottom="0.75" header="0.3" footer="0.3"/>
  <pageSetup paperSize="9" scale="9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U31"/>
  <sheetViews>
    <sheetView tabSelected="1" zoomScale="85" zoomScaleNormal="85" zoomScaleSheetLayoutView="70" zoomScalePageLayoutView="38" workbookViewId="0">
      <selection activeCell="AG12" sqref="AG12"/>
    </sheetView>
  </sheetViews>
  <sheetFormatPr defaultColWidth="5.12109375" defaultRowHeight="15" x14ac:dyDescent="0.2"/>
  <cols>
    <col min="1" max="1" width="4.71875" style="48" customWidth="1"/>
    <col min="2" max="3" width="4.8515625" style="48" customWidth="1"/>
    <col min="4" max="4" width="5.12109375" style="48"/>
    <col min="5" max="6" width="5.12109375" style="48" customWidth="1"/>
    <col min="7" max="7" width="5.12109375" style="48"/>
    <col min="8" max="8" width="5.12109375" style="48" customWidth="1"/>
    <col min="9" max="9" width="5.2578125" style="48" customWidth="1"/>
    <col min="10" max="10" width="5.12109375" style="48" customWidth="1"/>
    <col min="11" max="12" width="9.57421875" style="48" customWidth="1"/>
    <col min="13" max="13" width="9.84375" style="48" customWidth="1"/>
    <col min="14" max="15" width="9.57421875" style="48" customWidth="1"/>
    <col min="16" max="16" width="6.7421875" style="48" customWidth="1"/>
    <col min="17" max="17" width="17.80078125" style="48" customWidth="1"/>
    <col min="18" max="18" width="16.44921875" style="48" bestFit="1" customWidth="1"/>
    <col min="19" max="19" width="14.0234375" style="48" customWidth="1"/>
    <col min="20" max="20" width="47.87109375" style="48" customWidth="1"/>
    <col min="21" max="16384" width="5.12109375" style="48"/>
  </cols>
  <sheetData>
    <row r="1" spans="1:21" ht="25.5" x14ac:dyDescent="0.2">
      <c r="A1" s="262" t="s">
        <v>180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4"/>
      <c r="P1" s="47"/>
      <c r="Q1" s="262" t="s">
        <v>181</v>
      </c>
      <c r="R1" s="263"/>
      <c r="S1" s="263"/>
      <c r="T1" s="263"/>
      <c r="U1" s="264"/>
    </row>
    <row r="2" spans="1:21" ht="18.75" x14ac:dyDescent="0.25">
      <c r="A2" s="329"/>
      <c r="B2" s="330"/>
      <c r="C2" s="330"/>
      <c r="I2" s="341"/>
      <c r="J2" s="341"/>
      <c r="K2" s="60"/>
      <c r="L2" s="60"/>
      <c r="M2" s="60"/>
      <c r="N2" s="60"/>
      <c r="O2" s="49"/>
      <c r="Q2" s="305" t="str">
        <f>IF(ISBLANK(Wagenliste!M2),"",Wagenliste!M2)</f>
        <v/>
      </c>
      <c r="R2" s="306"/>
      <c r="S2" s="51" t="s">
        <v>12</v>
      </c>
      <c r="T2" s="265">
        <f ca="1">TODAY()</f>
        <v>46249</v>
      </c>
      <c r="U2" s="266"/>
    </row>
    <row r="3" spans="1:21" ht="18.75" x14ac:dyDescent="0.25">
      <c r="A3" s="308" t="s">
        <v>182</v>
      </c>
      <c r="B3" s="309"/>
      <c r="C3" s="309"/>
      <c r="D3" s="309"/>
      <c r="E3" s="272" t="s">
        <v>132</v>
      </c>
      <c r="F3" s="272"/>
      <c r="G3" s="272"/>
      <c r="H3" s="272"/>
      <c r="I3" s="272"/>
      <c r="J3" s="272"/>
      <c r="K3" s="272"/>
      <c r="L3" s="60"/>
      <c r="M3" s="276"/>
      <c r="N3" s="276"/>
      <c r="O3" s="49"/>
      <c r="Q3" s="280" t="s">
        <v>131</v>
      </c>
      <c r="R3" s="267"/>
      <c r="S3" s="52"/>
      <c r="T3" s="267" t="s">
        <v>183</v>
      </c>
      <c r="U3" s="268"/>
    </row>
    <row r="4" spans="1:21" ht="18.75" x14ac:dyDescent="0.25">
      <c r="A4" s="70"/>
      <c r="E4" s="267" t="s">
        <v>184</v>
      </c>
      <c r="F4" s="267"/>
      <c r="G4" s="267"/>
      <c r="H4" s="267"/>
      <c r="I4" s="267"/>
      <c r="J4" s="267"/>
      <c r="K4" s="267"/>
      <c r="L4" s="67"/>
      <c r="M4" s="267" t="s">
        <v>185</v>
      </c>
      <c r="N4" s="267"/>
      <c r="O4" s="68"/>
      <c r="Q4" s="271" t="str">
        <f>E3</f>
        <v>EGBK</v>
      </c>
      <c r="R4" s="272"/>
      <c r="S4" s="52"/>
      <c r="T4" s="276"/>
      <c r="U4" s="266"/>
    </row>
    <row r="5" spans="1:21" ht="18.75" x14ac:dyDescent="0.25">
      <c r="A5" s="308" t="s">
        <v>186</v>
      </c>
      <c r="B5" s="309"/>
      <c r="C5" s="309"/>
      <c r="D5" s="309"/>
      <c r="E5" s="342"/>
      <c r="F5" s="343"/>
      <c r="G5" s="343"/>
      <c r="H5" s="343"/>
      <c r="I5" s="343"/>
      <c r="J5" s="343"/>
      <c r="K5" s="343"/>
      <c r="L5" s="59"/>
      <c r="M5" s="344"/>
      <c r="N5" s="276"/>
      <c r="O5" s="68"/>
      <c r="Q5" s="269" t="s">
        <v>184</v>
      </c>
      <c r="R5" s="270"/>
      <c r="S5" s="50"/>
      <c r="T5" s="270" t="s">
        <v>185</v>
      </c>
      <c r="U5" s="277"/>
    </row>
    <row r="6" spans="1:21" ht="18.75" x14ac:dyDescent="0.2">
      <c r="A6" s="70"/>
      <c r="E6" s="267" t="s">
        <v>0</v>
      </c>
      <c r="F6" s="267"/>
      <c r="G6" s="267"/>
      <c r="H6" s="267"/>
      <c r="I6" s="267"/>
      <c r="J6" s="267"/>
      <c r="K6" s="267"/>
      <c r="L6" s="67"/>
      <c r="M6" s="267" t="s">
        <v>187</v>
      </c>
      <c r="N6" s="267"/>
      <c r="O6" s="68"/>
      <c r="Q6" s="53" t="s">
        <v>188</v>
      </c>
      <c r="R6" s="61"/>
      <c r="S6" s="61"/>
      <c r="T6" s="278"/>
      <c r="U6" s="279"/>
    </row>
    <row r="7" spans="1:21" ht="18.75" x14ac:dyDescent="0.25">
      <c r="A7" s="329"/>
      <c r="B7" s="330"/>
      <c r="C7" s="330"/>
      <c r="H7" s="71"/>
      <c r="I7" s="341"/>
      <c r="J7" s="341"/>
      <c r="K7" s="52"/>
      <c r="L7" s="52"/>
      <c r="M7" s="60"/>
      <c r="N7" s="60"/>
      <c r="O7" s="68"/>
      <c r="Q7" s="76" t="s">
        <v>225</v>
      </c>
      <c r="R7" s="74"/>
      <c r="S7" s="74"/>
      <c r="T7" s="285" t="s">
        <v>223</v>
      </c>
      <c r="U7" s="286"/>
    </row>
    <row r="8" spans="1:21" ht="18.75" x14ac:dyDescent="0.25">
      <c r="A8" s="308" t="s">
        <v>189</v>
      </c>
      <c r="B8" s="309"/>
      <c r="C8" s="309"/>
      <c r="D8" s="309"/>
      <c r="E8" s="291">
        <f>Wagenliste!J37</f>
        <v>90</v>
      </c>
      <c r="F8" s="272"/>
      <c r="G8" s="272"/>
      <c r="H8" s="291">
        <f>Wagenliste!G37</f>
        <v>80</v>
      </c>
      <c r="I8" s="272"/>
      <c r="J8" s="272"/>
      <c r="K8" s="52" t="s">
        <v>214</v>
      </c>
      <c r="L8" s="273"/>
      <c r="M8" s="274"/>
      <c r="N8" s="274"/>
      <c r="O8" s="68"/>
      <c r="Q8" s="77" t="s">
        <v>226</v>
      </c>
      <c r="R8" s="74"/>
      <c r="S8" s="74"/>
      <c r="T8" s="285" t="s">
        <v>212</v>
      </c>
      <c r="U8" s="286"/>
    </row>
    <row r="9" spans="1:21" ht="15.75" thickBot="1" x14ac:dyDescent="0.25">
      <c r="A9" s="331"/>
      <c r="B9" s="332"/>
      <c r="C9" s="332"/>
      <c r="D9" s="75"/>
      <c r="E9" s="292" t="s">
        <v>208</v>
      </c>
      <c r="F9" s="292"/>
      <c r="G9" s="292"/>
      <c r="H9" s="292" t="s">
        <v>209</v>
      </c>
      <c r="I9" s="292"/>
      <c r="J9" s="292"/>
      <c r="K9" s="292" t="s">
        <v>190</v>
      </c>
      <c r="L9" s="292"/>
      <c r="M9" s="292"/>
      <c r="N9" s="292"/>
      <c r="O9" s="307"/>
      <c r="Q9" s="78" t="s">
        <v>227</v>
      </c>
      <c r="R9" s="73"/>
      <c r="S9" s="73"/>
      <c r="T9" s="287" t="s">
        <v>224</v>
      </c>
      <c r="U9" s="288"/>
    </row>
    <row r="10" spans="1:21" ht="45.75" customHeight="1" x14ac:dyDescent="0.2">
      <c r="A10" s="310" t="s">
        <v>220</v>
      </c>
      <c r="B10" s="311"/>
      <c r="C10" s="311"/>
      <c r="D10" s="311"/>
      <c r="E10" s="311"/>
      <c r="F10" s="311"/>
      <c r="G10" s="311"/>
      <c r="H10" s="311"/>
      <c r="I10" s="311"/>
      <c r="J10" s="312"/>
      <c r="K10" s="313" t="s">
        <v>221</v>
      </c>
      <c r="L10" s="314"/>
      <c r="M10" s="314"/>
      <c r="N10" s="314"/>
      <c r="O10" s="315"/>
      <c r="Q10" s="240" t="s">
        <v>222</v>
      </c>
      <c r="R10" s="241"/>
      <c r="S10" s="242"/>
      <c r="T10" s="240" t="s">
        <v>191</v>
      </c>
      <c r="U10" s="242"/>
    </row>
    <row r="11" spans="1:21" ht="18.75" customHeight="1" x14ac:dyDescent="0.2">
      <c r="A11" s="316" t="str">
        <f>'Formeln Rdx'!D47</f>
        <v>8</v>
      </c>
      <c r="B11" s="301"/>
      <c r="C11" s="316" t="str">
        <f>'Formeln Rdx'!E47</f>
        <v>8</v>
      </c>
      <c r="D11" s="301"/>
      <c r="E11" s="316" t="str">
        <f>'Formeln Rdx'!F47</f>
        <v>7</v>
      </c>
      <c r="F11" s="301"/>
      <c r="G11" s="293" t="s">
        <v>211</v>
      </c>
      <c r="H11" s="294"/>
      <c r="I11" s="297">
        <f>'Formeln Rdx'!C7</f>
        <v>1</v>
      </c>
      <c r="J11" s="298"/>
      <c r="K11" s="301" t="str">
        <f>'Formeln Rdx'!D42</f>
        <v>7</v>
      </c>
      <c r="L11" s="289" t="str">
        <f>'Formeln Rdx'!E42</f>
        <v>7</v>
      </c>
      <c r="M11" s="289" t="str">
        <f>'Formeln Rdx'!F42</f>
        <v>0</v>
      </c>
      <c r="N11" s="303" t="s">
        <v>211</v>
      </c>
      <c r="O11" s="289" t="str">
        <f>'Formeln Rdx'!G42</f>
        <v>1</v>
      </c>
      <c r="Q11" s="253">
        <f>'Formeln Rdx'!B47</f>
        <v>378078308871</v>
      </c>
      <c r="R11" s="339"/>
      <c r="S11" s="254"/>
      <c r="T11" s="253">
        <f>'Formeln Rdx'!B42</f>
        <v>378079297701</v>
      </c>
      <c r="U11" s="254"/>
    </row>
    <row r="12" spans="1:21" ht="18.75" customHeight="1" thickBot="1" x14ac:dyDescent="0.25">
      <c r="A12" s="317"/>
      <c r="B12" s="302"/>
      <c r="C12" s="317"/>
      <c r="D12" s="302"/>
      <c r="E12" s="317"/>
      <c r="F12" s="302"/>
      <c r="G12" s="295"/>
      <c r="H12" s="296"/>
      <c r="I12" s="299"/>
      <c r="J12" s="300"/>
      <c r="K12" s="302"/>
      <c r="L12" s="290"/>
      <c r="M12" s="290"/>
      <c r="N12" s="304"/>
      <c r="O12" s="290"/>
      <c r="Q12" s="340"/>
      <c r="R12" s="255"/>
      <c r="S12" s="255"/>
      <c r="T12" s="255"/>
      <c r="U12" s="256"/>
    </row>
    <row r="13" spans="1:21" ht="18.75" customHeight="1" x14ac:dyDescent="0.3">
      <c r="A13" s="325" t="s">
        <v>229</v>
      </c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326"/>
      <c r="O13" s="327"/>
      <c r="Q13" s="53" t="s">
        <v>192</v>
      </c>
      <c r="S13" s="275" t="str">
        <f>IF(ISBLANK(Wagenliste!J42),"",Wagenliste!J42)</f>
        <v>N.Uka</v>
      </c>
      <c r="T13" s="275"/>
      <c r="U13" s="80"/>
    </row>
    <row r="14" spans="1:21" ht="18.75" customHeight="1" x14ac:dyDescent="0.2">
      <c r="A14" s="281" t="s">
        <v>193</v>
      </c>
      <c r="B14" s="282"/>
      <c r="C14" s="282"/>
      <c r="D14" s="282"/>
      <c r="E14" s="282"/>
      <c r="F14" s="282"/>
      <c r="G14" s="282"/>
      <c r="H14" s="282"/>
      <c r="I14" s="282"/>
      <c r="J14" s="282"/>
      <c r="K14" s="282"/>
      <c r="L14" s="282"/>
      <c r="M14" s="282"/>
      <c r="N14" s="282"/>
      <c r="O14" s="283"/>
      <c r="Q14" s="55"/>
      <c r="R14" s="54"/>
      <c r="S14" s="270" t="s">
        <v>190</v>
      </c>
      <c r="T14" s="270"/>
      <c r="U14" s="79"/>
    </row>
    <row r="15" spans="1:21" ht="6" customHeight="1" x14ac:dyDescent="0.25">
      <c r="A15" s="260"/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84"/>
      <c r="Q15" s="237"/>
      <c r="R15" s="238"/>
      <c r="S15" s="238"/>
      <c r="T15" s="238"/>
      <c r="U15" s="239"/>
    </row>
    <row r="16" spans="1:21" ht="27" customHeight="1" x14ac:dyDescent="0.2">
      <c r="A16" s="260" t="s">
        <v>194</v>
      </c>
      <c r="B16" s="261"/>
      <c r="C16" s="261"/>
      <c r="D16" s="261"/>
      <c r="E16" s="261"/>
      <c r="F16" s="261"/>
      <c r="G16" s="261"/>
      <c r="H16" s="261"/>
      <c r="I16" s="261"/>
      <c r="J16" s="261"/>
      <c r="K16" s="261"/>
      <c r="L16" s="261"/>
      <c r="M16" s="261"/>
      <c r="N16" s="261"/>
      <c r="O16" s="284"/>
      <c r="Q16" s="257" t="s">
        <v>195</v>
      </c>
      <c r="R16" s="258"/>
      <c r="S16" s="258"/>
      <c r="T16" s="258"/>
      <c r="U16" s="259"/>
    </row>
    <row r="17" spans="1:21" ht="36.75" customHeight="1" x14ac:dyDescent="0.2">
      <c r="A17" s="328" t="s">
        <v>196</v>
      </c>
      <c r="B17" s="328"/>
      <c r="C17" s="328"/>
      <c r="D17" s="328"/>
      <c r="E17" s="328" t="s">
        <v>197</v>
      </c>
      <c r="F17" s="328"/>
      <c r="G17" s="328"/>
      <c r="H17" s="319" t="s">
        <v>198</v>
      </c>
      <c r="I17" s="319"/>
      <c r="J17" s="320"/>
      <c r="K17" s="322" t="s">
        <v>210</v>
      </c>
      <c r="L17" s="322"/>
      <c r="M17" s="322"/>
      <c r="N17" s="322"/>
      <c r="O17" s="338"/>
      <c r="Q17" s="260" t="s">
        <v>199</v>
      </c>
      <c r="R17" s="261"/>
      <c r="S17" s="56" t="s">
        <v>200</v>
      </c>
      <c r="T17" s="56" t="s">
        <v>213</v>
      </c>
      <c r="U17" s="143"/>
    </row>
    <row r="18" spans="1:21" ht="30" customHeight="1" x14ac:dyDescent="0.3">
      <c r="A18" s="318"/>
      <c r="B18" s="318"/>
      <c r="C18" s="318"/>
      <c r="D18" s="318"/>
      <c r="E18" s="318"/>
      <c r="F18" s="318"/>
      <c r="G18" s="318"/>
      <c r="H18" s="321"/>
      <c r="I18" s="322"/>
      <c r="J18" s="323"/>
      <c r="K18" s="97"/>
      <c r="L18" s="98"/>
      <c r="M18" s="98"/>
      <c r="N18" s="69" t="s">
        <v>211</v>
      </c>
      <c r="O18" s="98"/>
      <c r="Q18" s="334" t="s">
        <v>201</v>
      </c>
      <c r="R18" s="335"/>
      <c r="S18" s="57"/>
      <c r="T18" s="243" t="s">
        <v>313</v>
      </c>
      <c r="U18" s="244"/>
    </row>
    <row r="19" spans="1:21" ht="30" customHeight="1" x14ac:dyDescent="0.3">
      <c r="A19" s="318"/>
      <c r="B19" s="318"/>
      <c r="C19" s="318"/>
      <c r="D19" s="318"/>
      <c r="E19" s="318"/>
      <c r="F19" s="318"/>
      <c r="G19" s="318"/>
      <c r="H19" s="321"/>
      <c r="I19" s="322"/>
      <c r="J19" s="323"/>
      <c r="K19" s="97"/>
      <c r="L19" s="98"/>
      <c r="M19" s="98"/>
      <c r="N19" s="69" t="s">
        <v>211</v>
      </c>
      <c r="O19" s="98"/>
      <c r="Q19" s="334" t="s">
        <v>308</v>
      </c>
      <c r="R19" s="335"/>
      <c r="S19" s="57"/>
      <c r="T19" s="243" t="s">
        <v>313</v>
      </c>
      <c r="U19" s="244"/>
    </row>
    <row r="20" spans="1:21" ht="30" customHeight="1" x14ac:dyDescent="0.3">
      <c r="A20" s="318"/>
      <c r="B20" s="318"/>
      <c r="C20" s="318"/>
      <c r="D20" s="318"/>
      <c r="E20" s="318"/>
      <c r="F20" s="318"/>
      <c r="G20" s="318"/>
      <c r="H20" s="321"/>
      <c r="I20" s="322"/>
      <c r="J20" s="323"/>
      <c r="K20" s="97"/>
      <c r="L20" s="98"/>
      <c r="M20" s="98"/>
      <c r="N20" s="69" t="s">
        <v>211</v>
      </c>
      <c r="O20" s="98"/>
      <c r="Q20" s="62" t="s">
        <v>202</v>
      </c>
      <c r="R20" s="63"/>
      <c r="S20" s="57"/>
      <c r="T20" s="243" t="s">
        <v>313</v>
      </c>
      <c r="U20" s="244"/>
    </row>
    <row r="21" spans="1:21" ht="30" customHeight="1" x14ac:dyDescent="0.3">
      <c r="A21" s="318"/>
      <c r="B21" s="318"/>
      <c r="C21" s="318"/>
      <c r="D21" s="318"/>
      <c r="E21" s="318"/>
      <c r="F21" s="318"/>
      <c r="G21" s="318"/>
      <c r="H21" s="321"/>
      <c r="I21" s="322"/>
      <c r="J21" s="323"/>
      <c r="K21" s="97"/>
      <c r="L21" s="98"/>
      <c r="M21" s="98"/>
      <c r="N21" s="69" t="s">
        <v>211</v>
      </c>
      <c r="O21" s="98"/>
      <c r="Q21" s="62" t="s">
        <v>203</v>
      </c>
      <c r="R21" s="64"/>
      <c r="S21" s="57"/>
      <c r="T21" s="243" t="s">
        <v>313</v>
      </c>
      <c r="U21" s="244"/>
    </row>
    <row r="22" spans="1:21" ht="30" customHeight="1" x14ac:dyDescent="0.3">
      <c r="A22" s="318"/>
      <c r="B22" s="318"/>
      <c r="C22" s="318"/>
      <c r="D22" s="318"/>
      <c r="E22" s="318"/>
      <c r="F22" s="318"/>
      <c r="G22" s="318"/>
      <c r="H22" s="321"/>
      <c r="I22" s="322"/>
      <c r="J22" s="323"/>
      <c r="K22" s="97"/>
      <c r="L22" s="98"/>
      <c r="M22" s="98"/>
      <c r="N22" s="69" t="s">
        <v>211</v>
      </c>
      <c r="O22" s="98"/>
      <c r="Q22" s="336" t="s">
        <v>204</v>
      </c>
      <c r="R22" s="337"/>
      <c r="S22" s="333"/>
      <c r="T22" s="243" t="s">
        <v>314</v>
      </c>
      <c r="U22" s="244"/>
    </row>
    <row r="23" spans="1:21" ht="30" customHeight="1" x14ac:dyDescent="0.3">
      <c r="A23" s="318"/>
      <c r="B23" s="318"/>
      <c r="C23" s="318"/>
      <c r="D23" s="318"/>
      <c r="E23" s="318"/>
      <c r="F23" s="318"/>
      <c r="G23" s="318"/>
      <c r="H23" s="321"/>
      <c r="I23" s="322"/>
      <c r="J23" s="323"/>
      <c r="K23" s="97"/>
      <c r="L23" s="98"/>
      <c r="M23" s="99"/>
      <c r="N23" s="69" t="s">
        <v>211</v>
      </c>
      <c r="O23" s="99"/>
      <c r="Q23" s="336"/>
      <c r="R23" s="337"/>
      <c r="S23" s="333"/>
      <c r="T23" s="243" t="s">
        <v>228</v>
      </c>
      <c r="U23" s="244"/>
    </row>
    <row r="24" spans="1:21" ht="30" customHeight="1" x14ac:dyDescent="0.3">
      <c r="A24" s="318"/>
      <c r="B24" s="318"/>
      <c r="C24" s="318"/>
      <c r="D24" s="318"/>
      <c r="E24" s="318"/>
      <c r="F24" s="318"/>
      <c r="G24" s="318"/>
      <c r="H24" s="321"/>
      <c r="I24" s="322"/>
      <c r="J24" s="323"/>
      <c r="K24" s="97"/>
      <c r="L24" s="98"/>
      <c r="M24" s="99"/>
      <c r="N24" s="69" t="s">
        <v>211</v>
      </c>
      <c r="O24" s="99"/>
      <c r="Q24" s="62" t="s">
        <v>205</v>
      </c>
      <c r="R24" s="64"/>
      <c r="S24" s="57"/>
      <c r="T24" s="243" t="s">
        <v>228</v>
      </c>
      <c r="U24" s="244"/>
    </row>
    <row r="25" spans="1:21" ht="30" customHeight="1" x14ac:dyDescent="0.3">
      <c r="A25" s="318"/>
      <c r="B25" s="318"/>
      <c r="C25" s="318"/>
      <c r="D25" s="318"/>
      <c r="E25" s="318"/>
      <c r="F25" s="318"/>
      <c r="G25" s="318"/>
      <c r="H25" s="321"/>
      <c r="I25" s="322"/>
      <c r="J25" s="323"/>
      <c r="K25" s="97"/>
      <c r="L25" s="98"/>
      <c r="M25" s="99"/>
      <c r="N25" s="69" t="s">
        <v>211</v>
      </c>
      <c r="O25" s="99"/>
      <c r="Q25" s="334" t="s">
        <v>206</v>
      </c>
      <c r="R25" s="335"/>
      <c r="S25" s="57"/>
      <c r="T25" s="243" t="s">
        <v>228</v>
      </c>
      <c r="U25" s="244"/>
    </row>
    <row r="26" spans="1:21" ht="30.75" customHeight="1" x14ac:dyDescent="0.3">
      <c r="A26" s="318"/>
      <c r="B26" s="318"/>
      <c r="C26" s="318"/>
      <c r="D26" s="318"/>
      <c r="E26" s="318"/>
      <c r="F26" s="318"/>
      <c r="G26" s="318"/>
      <c r="H26" s="321"/>
      <c r="I26" s="322"/>
      <c r="J26" s="323"/>
      <c r="K26" s="97"/>
      <c r="L26" s="98"/>
      <c r="M26" s="99"/>
      <c r="N26" s="69" t="s">
        <v>211</v>
      </c>
      <c r="O26" s="99"/>
      <c r="Q26" s="65" t="s">
        <v>207</v>
      </c>
      <c r="R26" s="66"/>
      <c r="S26" s="58"/>
      <c r="T26" s="245" t="s">
        <v>228</v>
      </c>
      <c r="U26" s="246"/>
    </row>
    <row r="27" spans="1:21" ht="30.75" customHeight="1" x14ac:dyDescent="0.2">
      <c r="A27" s="318"/>
      <c r="B27" s="318"/>
      <c r="C27" s="318"/>
      <c r="D27" s="318"/>
      <c r="E27" s="318"/>
      <c r="F27" s="318"/>
      <c r="G27" s="318"/>
      <c r="H27" s="321"/>
      <c r="I27" s="322"/>
      <c r="J27" s="323"/>
      <c r="K27" s="97"/>
      <c r="L27" s="98"/>
      <c r="M27" s="99"/>
      <c r="N27" s="69" t="s">
        <v>211</v>
      </c>
      <c r="O27" s="99"/>
      <c r="Q27" s="247" t="s">
        <v>230</v>
      </c>
      <c r="R27" s="248"/>
      <c r="S27" s="248"/>
      <c r="T27" s="248"/>
      <c r="U27" s="249"/>
    </row>
    <row r="28" spans="1:21" ht="30.75" customHeight="1" x14ac:dyDescent="0.2">
      <c r="A28" s="318"/>
      <c r="B28" s="318"/>
      <c r="C28" s="318"/>
      <c r="D28" s="318"/>
      <c r="E28" s="318"/>
      <c r="F28" s="318"/>
      <c r="G28" s="318"/>
      <c r="H28" s="321"/>
      <c r="I28" s="322"/>
      <c r="J28" s="323"/>
      <c r="K28" s="97"/>
      <c r="L28" s="98"/>
      <c r="M28" s="99"/>
      <c r="N28" s="69" t="s">
        <v>211</v>
      </c>
      <c r="O28" s="99"/>
      <c r="Q28" s="250">
        <v>6</v>
      </c>
      <c r="R28" s="251"/>
      <c r="S28" s="251"/>
      <c r="T28" s="251"/>
      <c r="U28" s="252"/>
    </row>
    <row r="29" spans="1:21" ht="30.75" customHeight="1" x14ac:dyDescent="0.2">
      <c r="A29" s="324"/>
      <c r="B29" s="318"/>
      <c r="C29" s="318"/>
      <c r="D29" s="318"/>
      <c r="E29" s="318"/>
      <c r="F29" s="318"/>
      <c r="G29" s="318"/>
      <c r="H29" s="321"/>
      <c r="I29" s="322"/>
      <c r="J29" s="323"/>
      <c r="K29" s="97"/>
      <c r="L29" s="98"/>
      <c r="M29" s="99"/>
      <c r="N29" s="69" t="s">
        <v>211</v>
      </c>
      <c r="O29" s="99"/>
      <c r="Q29" s="231">
        <v>7</v>
      </c>
      <c r="R29" s="232"/>
      <c r="S29" s="232"/>
      <c r="T29" s="232"/>
      <c r="U29" s="233"/>
    </row>
    <row r="30" spans="1:21" ht="30.75" customHeight="1" x14ac:dyDescent="0.2">
      <c r="A30" s="72"/>
      <c r="Q30" s="231">
        <v>8</v>
      </c>
      <c r="R30" s="232"/>
      <c r="S30" s="232"/>
      <c r="T30" s="232"/>
      <c r="U30" s="233"/>
    </row>
    <row r="31" spans="1:21" ht="30.75" customHeight="1" x14ac:dyDescent="0.2">
      <c r="Q31" s="234"/>
      <c r="R31" s="235"/>
      <c r="S31" s="235"/>
      <c r="T31" s="235"/>
      <c r="U31" s="236"/>
    </row>
  </sheetData>
  <sheetProtection formatCells="0" deleteColumns="0" deleteRows="0"/>
  <mergeCells count="121">
    <mergeCell ref="C11:D12"/>
    <mergeCell ref="E11:F12"/>
    <mergeCell ref="A2:C2"/>
    <mergeCell ref="A9:C9"/>
    <mergeCell ref="A7:C7"/>
    <mergeCell ref="S22:S23"/>
    <mergeCell ref="Q25:R25"/>
    <mergeCell ref="E26:G26"/>
    <mergeCell ref="E27:G27"/>
    <mergeCell ref="H25:J25"/>
    <mergeCell ref="H26:J26"/>
    <mergeCell ref="Q19:R19"/>
    <mergeCell ref="Q22:R23"/>
    <mergeCell ref="Q18:R18"/>
    <mergeCell ref="K17:O17"/>
    <mergeCell ref="Q11:S11"/>
    <mergeCell ref="Q12:S12"/>
    <mergeCell ref="I7:J7"/>
    <mergeCell ref="I2:J2"/>
    <mergeCell ref="E5:K5"/>
    <mergeCell ref="M5:N5"/>
    <mergeCell ref="M3:N3"/>
    <mergeCell ref="E24:G24"/>
    <mergeCell ref="E25:G25"/>
    <mergeCell ref="A27:D27"/>
    <mergeCell ref="A28:D28"/>
    <mergeCell ref="A29:D29"/>
    <mergeCell ref="A13:O13"/>
    <mergeCell ref="A16:O16"/>
    <mergeCell ref="E17:G17"/>
    <mergeCell ref="E18:G18"/>
    <mergeCell ref="E19:G19"/>
    <mergeCell ref="A20:D20"/>
    <mergeCell ref="A21:D21"/>
    <mergeCell ref="A22:D22"/>
    <mergeCell ref="A23:D23"/>
    <mergeCell ref="A24:D24"/>
    <mergeCell ref="A25:D25"/>
    <mergeCell ref="A17:D17"/>
    <mergeCell ref="A18:D18"/>
    <mergeCell ref="A19:D19"/>
    <mergeCell ref="H27:J27"/>
    <mergeCell ref="H28:J28"/>
    <mergeCell ref="H29:J29"/>
    <mergeCell ref="A3:D3"/>
    <mergeCell ref="A5:D5"/>
    <mergeCell ref="A8:D8"/>
    <mergeCell ref="A10:J10"/>
    <mergeCell ref="K10:O10"/>
    <mergeCell ref="A11:B12"/>
    <mergeCell ref="E28:G28"/>
    <mergeCell ref="E29:G29"/>
    <mergeCell ref="H17:J17"/>
    <mergeCell ref="H18:J18"/>
    <mergeCell ref="H19:J19"/>
    <mergeCell ref="H20:J20"/>
    <mergeCell ref="H21:J21"/>
    <mergeCell ref="H22:J22"/>
    <mergeCell ref="H23:J23"/>
    <mergeCell ref="H24:J24"/>
    <mergeCell ref="E20:G20"/>
    <mergeCell ref="E21:G21"/>
    <mergeCell ref="E22:G22"/>
    <mergeCell ref="E23:G23"/>
    <mergeCell ref="E8:G8"/>
    <mergeCell ref="E4:K4"/>
    <mergeCell ref="M4:N4"/>
    <mergeCell ref="A26:D26"/>
    <mergeCell ref="E6:K6"/>
    <mergeCell ref="G11:H12"/>
    <mergeCell ref="I11:J12"/>
    <mergeCell ref="K11:K12"/>
    <mergeCell ref="L11:L12"/>
    <mergeCell ref="M11:M12"/>
    <mergeCell ref="N11:N12"/>
    <mergeCell ref="Q2:R2"/>
    <mergeCell ref="K9:O9"/>
    <mergeCell ref="A1:O1"/>
    <mergeCell ref="Q1:U1"/>
    <mergeCell ref="T2:U2"/>
    <mergeCell ref="T3:U3"/>
    <mergeCell ref="Q5:R5"/>
    <mergeCell ref="Q4:R4"/>
    <mergeCell ref="S14:T14"/>
    <mergeCell ref="L8:N8"/>
    <mergeCell ref="S13:T13"/>
    <mergeCell ref="T4:U4"/>
    <mergeCell ref="T5:U5"/>
    <mergeCell ref="T6:U6"/>
    <mergeCell ref="Q3:R3"/>
    <mergeCell ref="A14:O15"/>
    <mergeCell ref="E3:K3"/>
    <mergeCell ref="T7:U7"/>
    <mergeCell ref="T8:U8"/>
    <mergeCell ref="T9:U9"/>
    <mergeCell ref="T10:U10"/>
    <mergeCell ref="O11:O12"/>
    <mergeCell ref="H8:J8"/>
    <mergeCell ref="H9:J9"/>
    <mergeCell ref="E9:G9"/>
    <mergeCell ref="M6:N6"/>
    <mergeCell ref="Q30:U30"/>
    <mergeCell ref="Q31:U31"/>
    <mergeCell ref="Q15:U15"/>
    <mergeCell ref="Q10:S10"/>
    <mergeCell ref="T24:U24"/>
    <mergeCell ref="T25:U25"/>
    <mergeCell ref="T26:U26"/>
    <mergeCell ref="Q27:U27"/>
    <mergeCell ref="Q28:U28"/>
    <mergeCell ref="Q29:U29"/>
    <mergeCell ref="T11:U11"/>
    <mergeCell ref="T12:U12"/>
    <mergeCell ref="Q16:U16"/>
    <mergeCell ref="Q17:R17"/>
    <mergeCell ref="T18:U18"/>
    <mergeCell ref="T19:U19"/>
    <mergeCell ref="T20:U20"/>
    <mergeCell ref="T21:U21"/>
    <mergeCell ref="T22:U22"/>
    <mergeCell ref="T23:U23"/>
  </mergeCells>
  <pageMargins left="0.11811023622047245" right="0.19685039370078741" top="0.11811023622047245" bottom="0" header="0" footer="0.19685039370078741"/>
  <pageSetup paperSize="9" scale="71" fitToWidth="0" fitToHeight="0" orientation="landscape" r:id="rId1"/>
  <headerFooter>
    <oddFooter>&amp;LVBRW.5351V01 Meldezettel Abstellung&amp;RVBRW.4321V01 Meldezettel Zugvorbereitung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5</xdr:col>
                    <xdr:colOff>66675</xdr:colOff>
                    <xdr:row>17</xdr:row>
                    <xdr:rowOff>38100</xdr:rowOff>
                  </from>
                  <to>
                    <xdr:col>5</xdr:col>
                    <xdr:colOff>276225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1</xdr:col>
                    <xdr:colOff>247650</xdr:colOff>
                    <xdr:row>17</xdr:row>
                    <xdr:rowOff>47625</xdr:rowOff>
                  </from>
                  <to>
                    <xdr:col>2</xdr:col>
                    <xdr:colOff>123825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defaultSize="0" autoFill="0" autoLine="0" autoPict="0">
                <anchor moveWithCells="1">
                  <from>
                    <xdr:col>8</xdr:col>
                    <xdr:colOff>85725</xdr:colOff>
                    <xdr:row>17</xdr:row>
                    <xdr:rowOff>19050</xdr:rowOff>
                  </from>
                  <to>
                    <xdr:col>8</xdr:col>
                    <xdr:colOff>295275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defaultSize="0" autoFill="0" autoLine="0" autoPict="0">
                <anchor moveWithCells="1">
                  <from>
                    <xdr:col>5</xdr:col>
                    <xdr:colOff>66675</xdr:colOff>
                    <xdr:row>18</xdr:row>
                    <xdr:rowOff>19050</xdr:rowOff>
                  </from>
                  <to>
                    <xdr:col>5</xdr:col>
                    <xdr:colOff>276225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Check Box 5">
              <controlPr defaultSize="0" autoFill="0" autoLine="0" autoPict="0">
                <anchor moveWithCells="1">
                  <from>
                    <xdr:col>1</xdr:col>
                    <xdr:colOff>247650</xdr:colOff>
                    <xdr:row>18</xdr:row>
                    <xdr:rowOff>47625</xdr:rowOff>
                  </from>
                  <to>
                    <xdr:col>2</xdr:col>
                    <xdr:colOff>123825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Check Box 6">
              <controlPr defaultSize="0" autoFill="0" autoLine="0" autoPict="0">
                <anchor moveWithCells="1">
                  <from>
                    <xdr:col>8</xdr:col>
                    <xdr:colOff>85725</xdr:colOff>
                    <xdr:row>18</xdr:row>
                    <xdr:rowOff>19050</xdr:rowOff>
                  </from>
                  <to>
                    <xdr:col>8</xdr:col>
                    <xdr:colOff>295275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Check Box 7">
              <controlPr defaultSize="0" autoFill="0" autoLine="0" autoPict="0">
                <anchor moveWithCells="1">
                  <from>
                    <xdr:col>5</xdr:col>
                    <xdr:colOff>66675</xdr:colOff>
                    <xdr:row>19</xdr:row>
                    <xdr:rowOff>19050</xdr:rowOff>
                  </from>
                  <to>
                    <xdr:col>5</xdr:col>
                    <xdr:colOff>266700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Check Box 8">
              <controlPr defaultSize="0" autoFill="0" autoLine="0" autoPict="0">
                <anchor moveWithCells="1">
                  <from>
                    <xdr:col>1</xdr:col>
                    <xdr:colOff>247650</xdr:colOff>
                    <xdr:row>19</xdr:row>
                    <xdr:rowOff>47625</xdr:rowOff>
                  </from>
                  <to>
                    <xdr:col>2</xdr:col>
                    <xdr:colOff>123825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Check Box 9">
              <controlPr defaultSize="0" autoFill="0" autoLine="0" autoPict="0">
                <anchor moveWithCells="1">
                  <from>
                    <xdr:col>8</xdr:col>
                    <xdr:colOff>85725</xdr:colOff>
                    <xdr:row>19</xdr:row>
                    <xdr:rowOff>19050</xdr:rowOff>
                  </from>
                  <to>
                    <xdr:col>8</xdr:col>
                    <xdr:colOff>304800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Check Box 10">
              <controlPr defaultSize="0" autoFill="0" autoLine="0" autoPict="0">
                <anchor moveWithCells="1">
                  <from>
                    <xdr:col>5</xdr:col>
                    <xdr:colOff>66675</xdr:colOff>
                    <xdr:row>20</xdr:row>
                    <xdr:rowOff>19050</xdr:rowOff>
                  </from>
                  <to>
                    <xdr:col>5</xdr:col>
                    <xdr:colOff>266700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Check Box 11">
              <controlPr defaultSize="0" autoFill="0" autoLine="0" autoPict="0">
                <anchor moveWithCells="1">
                  <from>
                    <xdr:col>1</xdr:col>
                    <xdr:colOff>247650</xdr:colOff>
                    <xdr:row>20</xdr:row>
                    <xdr:rowOff>47625</xdr:rowOff>
                  </from>
                  <to>
                    <xdr:col>2</xdr:col>
                    <xdr:colOff>123825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Check Box 12">
              <controlPr defaultSize="0" autoFill="0" autoLine="0" autoPict="0">
                <anchor moveWithCells="1">
                  <from>
                    <xdr:col>8</xdr:col>
                    <xdr:colOff>85725</xdr:colOff>
                    <xdr:row>20</xdr:row>
                    <xdr:rowOff>19050</xdr:rowOff>
                  </from>
                  <to>
                    <xdr:col>8</xdr:col>
                    <xdr:colOff>304800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Check Box 13">
              <controlPr defaultSize="0" autoFill="0" autoLine="0" autoPict="0">
                <anchor moveWithCells="1">
                  <from>
                    <xdr:col>5</xdr:col>
                    <xdr:colOff>66675</xdr:colOff>
                    <xdr:row>21</xdr:row>
                    <xdr:rowOff>19050</xdr:rowOff>
                  </from>
                  <to>
                    <xdr:col>5</xdr:col>
                    <xdr:colOff>266700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Check Box 14">
              <controlPr defaultSize="0" autoFill="0" autoLine="0" autoPict="0">
                <anchor moveWithCells="1">
                  <from>
                    <xdr:col>1</xdr:col>
                    <xdr:colOff>247650</xdr:colOff>
                    <xdr:row>21</xdr:row>
                    <xdr:rowOff>47625</xdr:rowOff>
                  </from>
                  <to>
                    <xdr:col>2</xdr:col>
                    <xdr:colOff>123825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Check Box 15">
              <controlPr defaultSize="0" autoFill="0" autoLine="0" autoPict="0">
                <anchor moveWithCells="1">
                  <from>
                    <xdr:col>8</xdr:col>
                    <xdr:colOff>85725</xdr:colOff>
                    <xdr:row>21</xdr:row>
                    <xdr:rowOff>19050</xdr:rowOff>
                  </from>
                  <to>
                    <xdr:col>8</xdr:col>
                    <xdr:colOff>304800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Check Box 16">
              <controlPr defaultSize="0" autoFill="0" autoLine="0" autoPict="0">
                <anchor moveWithCells="1">
                  <from>
                    <xdr:col>5</xdr:col>
                    <xdr:colOff>66675</xdr:colOff>
                    <xdr:row>22</xdr:row>
                    <xdr:rowOff>19050</xdr:rowOff>
                  </from>
                  <to>
                    <xdr:col>5</xdr:col>
                    <xdr:colOff>266700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Check Box 17">
              <controlPr defaultSize="0" autoFill="0" autoLine="0" autoPict="0">
                <anchor moveWithCells="1">
                  <from>
                    <xdr:col>1</xdr:col>
                    <xdr:colOff>247650</xdr:colOff>
                    <xdr:row>22</xdr:row>
                    <xdr:rowOff>47625</xdr:rowOff>
                  </from>
                  <to>
                    <xdr:col>2</xdr:col>
                    <xdr:colOff>123825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Check Box 18">
              <controlPr defaultSize="0" autoFill="0" autoLine="0" autoPict="0">
                <anchor moveWithCells="1">
                  <from>
                    <xdr:col>8</xdr:col>
                    <xdr:colOff>85725</xdr:colOff>
                    <xdr:row>22</xdr:row>
                    <xdr:rowOff>19050</xdr:rowOff>
                  </from>
                  <to>
                    <xdr:col>8</xdr:col>
                    <xdr:colOff>304800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Check Box 19">
              <controlPr defaultSize="0" autoFill="0" autoLine="0" autoPict="0">
                <anchor moveWithCells="1">
                  <from>
                    <xdr:col>5</xdr:col>
                    <xdr:colOff>66675</xdr:colOff>
                    <xdr:row>23</xdr:row>
                    <xdr:rowOff>19050</xdr:rowOff>
                  </from>
                  <to>
                    <xdr:col>5</xdr:col>
                    <xdr:colOff>266700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Check Box 20">
              <controlPr defaultSize="0" autoFill="0" autoLine="0" autoPict="0">
                <anchor moveWithCells="1">
                  <from>
                    <xdr:col>1</xdr:col>
                    <xdr:colOff>247650</xdr:colOff>
                    <xdr:row>23</xdr:row>
                    <xdr:rowOff>47625</xdr:rowOff>
                  </from>
                  <to>
                    <xdr:col>2</xdr:col>
                    <xdr:colOff>123825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Check Box 21">
              <controlPr defaultSize="0" autoFill="0" autoLine="0" autoPict="0">
                <anchor moveWithCells="1">
                  <from>
                    <xdr:col>8</xdr:col>
                    <xdr:colOff>85725</xdr:colOff>
                    <xdr:row>23</xdr:row>
                    <xdr:rowOff>19050</xdr:rowOff>
                  </from>
                  <to>
                    <xdr:col>8</xdr:col>
                    <xdr:colOff>304800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Check Box 22">
              <controlPr defaultSize="0" autoFill="0" autoLine="0" autoPict="0">
                <anchor moveWithCells="1">
                  <from>
                    <xdr:col>5</xdr:col>
                    <xdr:colOff>66675</xdr:colOff>
                    <xdr:row>24</xdr:row>
                    <xdr:rowOff>19050</xdr:rowOff>
                  </from>
                  <to>
                    <xdr:col>5</xdr:col>
                    <xdr:colOff>266700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Check Box 23">
              <controlPr defaultSize="0" autoFill="0" autoLine="0" autoPict="0">
                <anchor moveWithCells="1">
                  <from>
                    <xdr:col>1</xdr:col>
                    <xdr:colOff>247650</xdr:colOff>
                    <xdr:row>24</xdr:row>
                    <xdr:rowOff>47625</xdr:rowOff>
                  </from>
                  <to>
                    <xdr:col>2</xdr:col>
                    <xdr:colOff>123825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Check Box 24">
              <controlPr defaultSize="0" autoFill="0" autoLine="0" autoPict="0">
                <anchor moveWithCells="1">
                  <from>
                    <xdr:col>8</xdr:col>
                    <xdr:colOff>85725</xdr:colOff>
                    <xdr:row>24</xdr:row>
                    <xdr:rowOff>19050</xdr:rowOff>
                  </from>
                  <to>
                    <xdr:col>8</xdr:col>
                    <xdr:colOff>304800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Check Box 25">
              <controlPr defaultSize="0" autoFill="0" autoLine="0" autoPict="0">
                <anchor moveWithCells="1">
                  <from>
                    <xdr:col>5</xdr:col>
                    <xdr:colOff>66675</xdr:colOff>
                    <xdr:row>25</xdr:row>
                    <xdr:rowOff>19050</xdr:rowOff>
                  </from>
                  <to>
                    <xdr:col>5</xdr:col>
                    <xdr:colOff>266700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Check Box 26">
              <controlPr defaultSize="0" autoFill="0" autoLine="0" autoPict="0">
                <anchor moveWithCells="1">
                  <from>
                    <xdr:col>1</xdr:col>
                    <xdr:colOff>247650</xdr:colOff>
                    <xdr:row>25</xdr:row>
                    <xdr:rowOff>47625</xdr:rowOff>
                  </from>
                  <to>
                    <xdr:col>2</xdr:col>
                    <xdr:colOff>123825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Check Box 27">
              <controlPr defaultSize="0" autoFill="0" autoLine="0" autoPict="0">
                <anchor moveWithCells="1">
                  <from>
                    <xdr:col>8</xdr:col>
                    <xdr:colOff>85725</xdr:colOff>
                    <xdr:row>25</xdr:row>
                    <xdr:rowOff>19050</xdr:rowOff>
                  </from>
                  <to>
                    <xdr:col>8</xdr:col>
                    <xdr:colOff>304800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1" name="Check Box 31">
              <controlPr defaultSize="0" autoFill="0" autoLine="0" autoPict="0">
                <anchor moveWithCells="1">
                  <from>
                    <xdr:col>5</xdr:col>
                    <xdr:colOff>66675</xdr:colOff>
                    <xdr:row>26</xdr:row>
                    <xdr:rowOff>19050</xdr:rowOff>
                  </from>
                  <to>
                    <xdr:col>5</xdr:col>
                    <xdr:colOff>266700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2" name="Check Box 32">
              <controlPr defaultSize="0" autoFill="0" autoLine="0" autoPict="0">
                <anchor moveWithCells="1">
                  <from>
                    <xdr:col>1</xdr:col>
                    <xdr:colOff>247650</xdr:colOff>
                    <xdr:row>26</xdr:row>
                    <xdr:rowOff>47625</xdr:rowOff>
                  </from>
                  <to>
                    <xdr:col>2</xdr:col>
                    <xdr:colOff>123825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3" name="Check Box 33">
              <controlPr defaultSize="0" autoFill="0" autoLine="0" autoPict="0">
                <anchor moveWithCells="1">
                  <from>
                    <xdr:col>8</xdr:col>
                    <xdr:colOff>85725</xdr:colOff>
                    <xdr:row>26</xdr:row>
                    <xdr:rowOff>19050</xdr:rowOff>
                  </from>
                  <to>
                    <xdr:col>8</xdr:col>
                    <xdr:colOff>304800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7" r:id="rId34" name="Check Box 37">
              <controlPr defaultSize="0" autoFill="0" autoLine="0" autoPict="0">
                <anchor moveWithCells="1">
                  <from>
                    <xdr:col>5</xdr:col>
                    <xdr:colOff>66675</xdr:colOff>
                    <xdr:row>27</xdr:row>
                    <xdr:rowOff>19050</xdr:rowOff>
                  </from>
                  <to>
                    <xdr:col>5</xdr:col>
                    <xdr:colOff>266700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8" r:id="rId35" name="Check Box 38">
              <controlPr defaultSize="0" autoFill="0" autoLine="0" autoPict="0">
                <anchor moveWithCells="1">
                  <from>
                    <xdr:col>1</xdr:col>
                    <xdr:colOff>247650</xdr:colOff>
                    <xdr:row>27</xdr:row>
                    <xdr:rowOff>47625</xdr:rowOff>
                  </from>
                  <to>
                    <xdr:col>2</xdr:col>
                    <xdr:colOff>123825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9" r:id="rId36" name="Check Box 39">
              <controlPr defaultSize="0" autoFill="0" autoLine="0" autoPict="0">
                <anchor moveWithCells="1">
                  <from>
                    <xdr:col>8</xdr:col>
                    <xdr:colOff>85725</xdr:colOff>
                    <xdr:row>27</xdr:row>
                    <xdr:rowOff>19050</xdr:rowOff>
                  </from>
                  <to>
                    <xdr:col>8</xdr:col>
                    <xdr:colOff>304800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37" name="Check Box 40">
              <controlPr defaultSize="0" autoFill="0" autoLine="0" autoPict="0">
                <anchor moveWithCells="1">
                  <from>
                    <xdr:col>5</xdr:col>
                    <xdr:colOff>66675</xdr:colOff>
                    <xdr:row>28</xdr:row>
                    <xdr:rowOff>19050</xdr:rowOff>
                  </from>
                  <to>
                    <xdr:col>5</xdr:col>
                    <xdr:colOff>266700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38" name="Check Box 41">
              <controlPr defaultSize="0" autoFill="0" autoLine="0" autoPict="0">
                <anchor moveWithCells="1">
                  <from>
                    <xdr:col>1</xdr:col>
                    <xdr:colOff>247650</xdr:colOff>
                    <xdr:row>28</xdr:row>
                    <xdr:rowOff>47625</xdr:rowOff>
                  </from>
                  <to>
                    <xdr:col>2</xdr:col>
                    <xdr:colOff>123825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39" name="Check Box 42">
              <controlPr defaultSize="0" autoFill="0" autoLine="0" autoPict="0">
                <anchor moveWithCells="1">
                  <from>
                    <xdr:col>8</xdr:col>
                    <xdr:colOff>85725</xdr:colOff>
                    <xdr:row>28</xdr:row>
                    <xdr:rowOff>19050</xdr:rowOff>
                  </from>
                  <to>
                    <xdr:col>8</xdr:col>
                    <xdr:colOff>304800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3" r:id="rId40" name="Check Box 43">
              <controlPr defaultSize="0" autoFill="0" autoLine="0" autoPict="0">
                <anchor moveWithCells="1">
                  <from>
                    <xdr:col>1</xdr:col>
                    <xdr:colOff>0</xdr:colOff>
                    <xdr:row>12</xdr:row>
                    <xdr:rowOff>228600</xdr:rowOff>
                  </from>
                  <to>
                    <xdr:col>1</xdr:col>
                    <xdr:colOff>219075</xdr:colOff>
                    <xdr:row>15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41" name="Check Box 44">
              <controlPr defaultSize="0" autoFill="0" autoLine="0" autoPict="0">
                <anchor moveWithCells="1">
                  <from>
                    <xdr:col>0</xdr:col>
                    <xdr:colOff>333375</xdr:colOff>
                    <xdr:row>15</xdr:row>
                    <xdr:rowOff>0</xdr:rowOff>
                  </from>
                  <to>
                    <xdr:col>1</xdr:col>
                    <xdr:colOff>190500</xdr:colOff>
                    <xdr:row>15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6" r:id="rId42" name="Check Box 46">
              <controlPr defaultSize="0" autoFill="0" autoLine="0" autoPict="0">
                <anchor moveWithCells="1">
                  <from>
                    <xdr:col>18</xdr:col>
                    <xdr:colOff>361950</xdr:colOff>
                    <xdr:row>19</xdr:row>
                    <xdr:rowOff>19050</xdr:rowOff>
                  </from>
                  <to>
                    <xdr:col>18</xdr:col>
                    <xdr:colOff>581025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7" r:id="rId43" name="Check Box 47">
              <controlPr defaultSize="0" autoFill="0" autoLine="0" autoPict="0">
                <anchor moveWithCells="1">
                  <from>
                    <xdr:col>18</xdr:col>
                    <xdr:colOff>361950</xdr:colOff>
                    <xdr:row>20</xdr:row>
                    <xdr:rowOff>19050</xdr:rowOff>
                  </from>
                  <to>
                    <xdr:col>18</xdr:col>
                    <xdr:colOff>581025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8" r:id="rId44" name="Check Box 48">
              <controlPr defaultSize="0" autoFill="0" autoLine="0" autoPict="0">
                <anchor moveWithCells="1">
                  <from>
                    <xdr:col>18</xdr:col>
                    <xdr:colOff>361950</xdr:colOff>
                    <xdr:row>21</xdr:row>
                    <xdr:rowOff>171450</xdr:rowOff>
                  </from>
                  <to>
                    <xdr:col>18</xdr:col>
                    <xdr:colOff>571500</xdr:colOff>
                    <xdr:row>22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9" r:id="rId45" name="Check Box 49">
              <controlPr defaultSize="0" autoFill="0" autoLine="0" autoPict="0">
                <anchor moveWithCells="1">
                  <from>
                    <xdr:col>18</xdr:col>
                    <xdr:colOff>361950</xdr:colOff>
                    <xdr:row>23</xdr:row>
                    <xdr:rowOff>19050</xdr:rowOff>
                  </from>
                  <to>
                    <xdr:col>18</xdr:col>
                    <xdr:colOff>571500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0" r:id="rId46" name="Check Box 50">
              <controlPr defaultSize="0" autoFill="0" autoLine="0" autoPict="0">
                <anchor moveWithCells="1">
                  <from>
                    <xdr:col>18</xdr:col>
                    <xdr:colOff>361950</xdr:colOff>
                    <xdr:row>24</xdr:row>
                    <xdr:rowOff>19050</xdr:rowOff>
                  </from>
                  <to>
                    <xdr:col>18</xdr:col>
                    <xdr:colOff>581025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1" r:id="rId47" name="Check Box 51">
              <controlPr defaultSize="0" autoFill="0" autoLine="0" autoPict="0">
                <anchor moveWithCells="1">
                  <from>
                    <xdr:col>18</xdr:col>
                    <xdr:colOff>361950</xdr:colOff>
                    <xdr:row>25</xdr:row>
                    <xdr:rowOff>19050</xdr:rowOff>
                  </from>
                  <to>
                    <xdr:col>18</xdr:col>
                    <xdr:colOff>571500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2" r:id="rId48" name="Check Box 52">
              <controlPr defaultSize="0" autoFill="0" autoLine="0" autoPict="0">
                <anchor moveWithCells="1">
                  <from>
                    <xdr:col>18</xdr:col>
                    <xdr:colOff>361950</xdr:colOff>
                    <xdr:row>18</xdr:row>
                    <xdr:rowOff>19050</xdr:rowOff>
                  </from>
                  <to>
                    <xdr:col>18</xdr:col>
                    <xdr:colOff>571500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7" r:id="rId49" name="Check Box 57">
              <controlPr defaultSize="0" autoFill="0" autoLine="0" autoPict="0">
                <anchor moveWithCells="1">
                  <from>
                    <xdr:col>18</xdr:col>
                    <xdr:colOff>361950</xdr:colOff>
                    <xdr:row>17</xdr:row>
                    <xdr:rowOff>19050</xdr:rowOff>
                  </from>
                  <to>
                    <xdr:col>18</xdr:col>
                    <xdr:colOff>581025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8" r:id="rId50" name="Check Box 58">
              <controlPr defaultSize="0" autoFill="0" autoLine="0" autoPict="0">
                <anchor moveWithCells="1">
                  <from>
                    <xdr:col>16</xdr:col>
                    <xdr:colOff>133350</xdr:colOff>
                    <xdr:row>5</xdr:row>
                    <xdr:rowOff>171450</xdr:rowOff>
                  </from>
                  <to>
                    <xdr:col>16</xdr:col>
                    <xdr:colOff>352425</xdr:colOff>
                    <xdr:row>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9" r:id="rId51" name="Check Box 59">
              <controlPr defaultSize="0" autoFill="0" autoLine="0" autoPict="0">
                <anchor moveWithCells="1">
                  <from>
                    <xdr:col>19</xdr:col>
                    <xdr:colOff>85725</xdr:colOff>
                    <xdr:row>5</xdr:row>
                    <xdr:rowOff>180975</xdr:rowOff>
                  </from>
                  <to>
                    <xdr:col>19</xdr:col>
                    <xdr:colOff>304800</xdr:colOff>
                    <xdr:row>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0" r:id="rId52" name="Check Box 60">
              <controlPr defaultSize="0" autoFill="0" autoLine="0" autoPict="0">
                <anchor moveWithCells="1">
                  <from>
                    <xdr:col>16</xdr:col>
                    <xdr:colOff>133350</xdr:colOff>
                    <xdr:row>6</xdr:row>
                    <xdr:rowOff>171450</xdr:rowOff>
                  </from>
                  <to>
                    <xdr:col>16</xdr:col>
                    <xdr:colOff>352425</xdr:colOff>
                    <xdr:row>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1" r:id="rId53" name="Check Box 61">
              <controlPr defaultSize="0" autoFill="0" autoLine="0" autoPict="0">
                <anchor moveWithCells="1">
                  <from>
                    <xdr:col>19</xdr:col>
                    <xdr:colOff>85725</xdr:colOff>
                    <xdr:row>6</xdr:row>
                    <xdr:rowOff>180975</xdr:rowOff>
                  </from>
                  <to>
                    <xdr:col>19</xdr:col>
                    <xdr:colOff>304800</xdr:colOff>
                    <xdr:row>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2" r:id="rId54" name="Check Box 62">
              <controlPr defaultSize="0" autoFill="0" autoLine="0" autoPict="0">
                <anchor moveWithCells="1">
                  <from>
                    <xdr:col>1</xdr:col>
                    <xdr:colOff>247650</xdr:colOff>
                    <xdr:row>22</xdr:row>
                    <xdr:rowOff>47625</xdr:rowOff>
                  </from>
                  <to>
                    <xdr:col>2</xdr:col>
                    <xdr:colOff>123825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3" r:id="rId55" name="Check Box 63">
              <controlPr defaultSize="0" autoFill="0" autoLine="0" autoPict="0">
                <anchor moveWithCells="1">
                  <from>
                    <xdr:col>1</xdr:col>
                    <xdr:colOff>247650</xdr:colOff>
                    <xdr:row>23</xdr:row>
                    <xdr:rowOff>47625</xdr:rowOff>
                  </from>
                  <to>
                    <xdr:col>2</xdr:col>
                    <xdr:colOff>123825</xdr:colOff>
                    <xdr:row>24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AO52"/>
  <sheetViews>
    <sheetView topLeftCell="C1" workbookViewId="0">
      <selection activeCell="AO7" sqref="AO7"/>
    </sheetView>
  </sheetViews>
  <sheetFormatPr defaultColWidth="11.4609375" defaultRowHeight="12.75" x14ac:dyDescent="0.15"/>
  <cols>
    <col min="1" max="1" width="5.66015625" customWidth="1"/>
    <col min="2" max="2" width="16.1796875" customWidth="1"/>
    <col min="3" max="3" width="9.16796875" customWidth="1"/>
    <col min="4" max="12" width="4.98828125" customWidth="1"/>
    <col min="13" max="13" width="6.47265625" customWidth="1"/>
    <col min="14" max="14" width="6.7421875" customWidth="1"/>
    <col min="15" max="23" width="5.390625" customWidth="1"/>
    <col min="24" max="36" width="5.66015625" customWidth="1"/>
    <col min="37" max="37" width="6.3359375" customWidth="1"/>
    <col min="38" max="38" width="13.078125" customWidth="1"/>
    <col min="39" max="39" width="12.9453125" customWidth="1"/>
    <col min="41" max="41" width="12.13671875" bestFit="1" customWidth="1"/>
  </cols>
  <sheetData>
    <row r="1" spans="1:41" s="83" customFormat="1" ht="18.75" thickBot="1" x14ac:dyDescent="0.25">
      <c r="A1" s="81"/>
      <c r="B1" s="704" t="s">
        <v>151</v>
      </c>
      <c r="C1" s="704"/>
      <c r="D1" s="704"/>
      <c r="E1" s="704"/>
      <c r="F1" s="704"/>
      <c r="G1" s="704"/>
      <c r="H1" s="704"/>
      <c r="I1" s="704"/>
      <c r="J1" s="704"/>
      <c r="K1" s="704"/>
      <c r="L1" s="704"/>
      <c r="M1" s="704"/>
      <c r="N1" s="705"/>
      <c r="O1" s="706" t="s">
        <v>163</v>
      </c>
      <c r="P1" s="704"/>
      <c r="Q1" s="704"/>
      <c r="R1" s="704"/>
      <c r="S1" s="704"/>
      <c r="T1" s="704"/>
      <c r="U1" s="704"/>
      <c r="V1" s="704"/>
      <c r="W1" s="704"/>
      <c r="X1" s="704"/>
      <c r="Y1" s="705"/>
      <c r="Z1" s="706" t="s">
        <v>176</v>
      </c>
      <c r="AA1" s="704"/>
      <c r="AB1" s="704"/>
      <c r="AC1" s="704"/>
      <c r="AD1" s="704"/>
      <c r="AE1" s="704"/>
      <c r="AF1" s="704"/>
      <c r="AG1" s="704"/>
      <c r="AH1" s="704"/>
      <c r="AI1" s="704"/>
      <c r="AJ1" s="704"/>
      <c r="AK1" s="705"/>
      <c r="AL1" s="82"/>
      <c r="AM1" s="82"/>
    </row>
    <row r="2" spans="1:41" s="86" customFormat="1" ht="36" thickTop="1" x14ac:dyDescent="0.15">
      <c r="A2" s="84" t="s">
        <v>139</v>
      </c>
      <c r="B2" s="85" t="s">
        <v>2</v>
      </c>
      <c r="C2" s="86" t="s">
        <v>138</v>
      </c>
      <c r="D2" s="86" t="s">
        <v>150</v>
      </c>
      <c r="E2" s="86" t="s">
        <v>140</v>
      </c>
      <c r="F2" s="86" t="s">
        <v>141</v>
      </c>
      <c r="G2" s="86" t="s">
        <v>142</v>
      </c>
      <c r="H2" s="86" t="s">
        <v>146</v>
      </c>
      <c r="I2" s="86" t="s">
        <v>145</v>
      </c>
      <c r="J2" s="86" t="s">
        <v>144</v>
      </c>
      <c r="K2" s="86" t="s">
        <v>143</v>
      </c>
      <c r="L2" s="86" t="s">
        <v>147</v>
      </c>
      <c r="M2" s="86" t="s">
        <v>148</v>
      </c>
      <c r="N2" s="84" t="s">
        <v>149</v>
      </c>
      <c r="O2" s="87" t="s">
        <v>152</v>
      </c>
      <c r="P2" s="88" t="s">
        <v>153</v>
      </c>
      <c r="Q2" s="88" t="s">
        <v>154</v>
      </c>
      <c r="R2" s="88" t="s">
        <v>155</v>
      </c>
      <c r="S2" s="88" t="s">
        <v>156</v>
      </c>
      <c r="T2" s="88" t="s">
        <v>157</v>
      </c>
      <c r="U2" s="88" t="s">
        <v>158</v>
      </c>
      <c r="V2" s="88" t="s">
        <v>159</v>
      </c>
      <c r="W2" s="88" t="s">
        <v>160</v>
      </c>
      <c r="X2" s="88" t="s">
        <v>161</v>
      </c>
      <c r="Y2" s="89" t="s">
        <v>162</v>
      </c>
      <c r="Z2" s="88" t="s">
        <v>164</v>
      </c>
      <c r="AA2" s="88" t="s">
        <v>165</v>
      </c>
      <c r="AB2" s="88" t="s">
        <v>166</v>
      </c>
      <c r="AC2" s="88" t="s">
        <v>167</v>
      </c>
      <c r="AD2" s="88" t="s">
        <v>168</v>
      </c>
      <c r="AE2" s="88" t="s">
        <v>169</v>
      </c>
      <c r="AF2" s="88" t="s">
        <v>170</v>
      </c>
      <c r="AG2" s="88" t="s">
        <v>171</v>
      </c>
      <c r="AH2" s="88" t="s">
        <v>172</v>
      </c>
      <c r="AI2" s="88" t="s">
        <v>173</v>
      </c>
      <c r="AJ2" s="88" t="s">
        <v>174</v>
      </c>
      <c r="AK2" s="90" t="s">
        <v>175</v>
      </c>
      <c r="AL2" s="91" t="s">
        <v>177</v>
      </c>
      <c r="AM2" s="91" t="s">
        <v>178</v>
      </c>
      <c r="AO2" s="88" t="s">
        <v>310</v>
      </c>
    </row>
    <row r="3" spans="1:41" s="86" customFormat="1" x14ac:dyDescent="0.15">
      <c r="A3" s="84"/>
      <c r="B3" s="227"/>
      <c r="N3" s="84"/>
      <c r="O3" s="87"/>
      <c r="P3" s="88"/>
      <c r="Q3" s="88"/>
      <c r="R3" s="88"/>
      <c r="S3" s="88"/>
      <c r="T3" s="88"/>
      <c r="U3" s="88"/>
      <c r="V3" s="88"/>
      <c r="W3" s="88"/>
      <c r="X3" s="88"/>
      <c r="Y3" s="89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91"/>
      <c r="AL3" s="91"/>
      <c r="AM3" s="91"/>
    </row>
    <row r="4" spans="1:41" s="86" customFormat="1" x14ac:dyDescent="0.15">
      <c r="A4" s="84"/>
      <c r="B4" s="227"/>
      <c r="N4" s="84"/>
      <c r="O4" s="87"/>
      <c r="P4" s="88"/>
      <c r="Q4" s="88"/>
      <c r="R4" s="88"/>
      <c r="S4" s="88"/>
      <c r="T4" s="88"/>
      <c r="U4" s="88"/>
      <c r="V4" s="88"/>
      <c r="W4" s="88"/>
      <c r="X4" s="88"/>
      <c r="Y4" s="89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91"/>
      <c r="AL4" s="91"/>
      <c r="AM4" s="91"/>
    </row>
    <row r="5" spans="1:41" s="86" customFormat="1" x14ac:dyDescent="0.15">
      <c r="A5" s="84"/>
      <c r="B5" s="227"/>
      <c r="N5" s="84"/>
      <c r="O5" s="87"/>
      <c r="P5" s="88"/>
      <c r="Q5" s="88"/>
      <c r="R5" s="88"/>
      <c r="S5" s="88"/>
      <c r="T5" s="88"/>
      <c r="U5" s="88"/>
      <c r="V5" s="88"/>
      <c r="W5" s="88"/>
      <c r="X5" s="88"/>
      <c r="Y5" s="89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91"/>
      <c r="AL5" s="91"/>
      <c r="AM5" s="91"/>
    </row>
    <row r="6" spans="1:41" s="86" customFormat="1" x14ac:dyDescent="0.15">
      <c r="A6" s="84"/>
      <c r="B6" s="227"/>
      <c r="N6" s="84"/>
      <c r="O6" s="87"/>
      <c r="P6" s="88"/>
      <c r="Q6" s="88"/>
      <c r="R6" s="88"/>
      <c r="S6" s="88"/>
      <c r="T6" s="88"/>
      <c r="U6" s="88"/>
      <c r="V6" s="88"/>
      <c r="W6" s="88"/>
      <c r="X6" s="88"/>
      <c r="Y6" s="89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91"/>
      <c r="AL6" s="91"/>
      <c r="AM6" s="91"/>
    </row>
    <row r="7" spans="1:41" x14ac:dyDescent="0.15">
      <c r="A7" s="92">
        <v>1</v>
      </c>
      <c r="B7" s="93">
        <f>Wagenliste!B7</f>
        <v>378078308871</v>
      </c>
      <c r="C7" s="124">
        <f>IF(ISBLANK(Wagenliste!B7),"",ROUND(MID(B7,12,1),0))</f>
        <v>1</v>
      </c>
      <c r="D7" t="str">
        <f>MID(B7,1,1)</f>
        <v>3</v>
      </c>
      <c r="E7" t="str">
        <f>MID(B7,2,1)</f>
        <v>7</v>
      </c>
      <c r="F7" t="str">
        <f>MID(B7,3,1)</f>
        <v>8</v>
      </c>
      <c r="G7" t="str">
        <f>MID(B7,4,1)</f>
        <v>0</v>
      </c>
      <c r="H7" t="str">
        <f>MID(B7,5,1)</f>
        <v>7</v>
      </c>
      <c r="I7" t="str">
        <f>MID(B7,6,1)</f>
        <v>8</v>
      </c>
      <c r="J7" t="str">
        <f>MID(B7,7,1)</f>
        <v>3</v>
      </c>
      <c r="K7" t="str">
        <f>MID(B7,8,1)</f>
        <v>0</v>
      </c>
      <c r="L7" t="str">
        <f>MID(B7,9,1)</f>
        <v>8</v>
      </c>
      <c r="M7" t="str">
        <f>MID(B7,10,1)</f>
        <v>8</v>
      </c>
      <c r="N7" s="92" t="str">
        <f>MID(B7,11,1)</f>
        <v>7</v>
      </c>
      <c r="O7" s="94">
        <f>D7*2</f>
        <v>6</v>
      </c>
      <c r="P7">
        <f>E7*1</f>
        <v>7</v>
      </c>
      <c r="Q7">
        <f>F7*2</f>
        <v>16</v>
      </c>
      <c r="R7">
        <f>G7*1</f>
        <v>0</v>
      </c>
      <c r="S7">
        <f>H7*2</f>
        <v>14</v>
      </c>
      <c r="T7">
        <f>I7*1</f>
        <v>8</v>
      </c>
      <c r="U7">
        <f>J7*2</f>
        <v>6</v>
      </c>
      <c r="V7">
        <f>K7*1</f>
        <v>0</v>
      </c>
      <c r="W7">
        <f>L7*2</f>
        <v>16</v>
      </c>
      <c r="X7">
        <f>M7*1</f>
        <v>8</v>
      </c>
      <c r="Y7" s="92">
        <f>N7*2</f>
        <v>14</v>
      </c>
      <c r="Z7">
        <f>IF(O7&gt;=10,MID(O7,1,1)+MID(O7,2,1),O7)</f>
        <v>6</v>
      </c>
      <c r="AA7">
        <f t="shared" ref="AA7:AJ22" si="0">IF(P7&gt;=10,MID(P7,1,1)+MID(P7,2,1),P7)</f>
        <v>7</v>
      </c>
      <c r="AB7">
        <f t="shared" si="0"/>
        <v>7</v>
      </c>
      <c r="AC7">
        <f t="shared" si="0"/>
        <v>0</v>
      </c>
      <c r="AD7">
        <f t="shared" si="0"/>
        <v>5</v>
      </c>
      <c r="AE7">
        <f t="shared" si="0"/>
        <v>8</v>
      </c>
      <c r="AF7">
        <f t="shared" si="0"/>
        <v>6</v>
      </c>
      <c r="AG7">
        <f t="shared" si="0"/>
        <v>0</v>
      </c>
      <c r="AH7">
        <f t="shared" si="0"/>
        <v>7</v>
      </c>
      <c r="AI7">
        <f t="shared" si="0"/>
        <v>8</v>
      </c>
      <c r="AJ7">
        <f t="shared" si="0"/>
        <v>5</v>
      </c>
      <c r="AK7" s="95">
        <f>SUM(Z7:AJ7)</f>
        <v>59</v>
      </c>
      <c r="AL7" s="95">
        <f>ROUNDUP(AK7,-1)</f>
        <v>60</v>
      </c>
      <c r="AM7" s="125">
        <f>ROUND(AL7-AK7,0)</f>
        <v>1</v>
      </c>
      <c r="AN7" s="124">
        <f>IF(ISBLANK(Wagenliste!B7),0,AM7-C7)</f>
        <v>0</v>
      </c>
      <c r="AO7">
        <f>IF(ISBLANK(Wagenliste!B7),"",IF(LEN(Wagenliste!B7)&gt;12,0,1))</f>
        <v>1</v>
      </c>
    </row>
    <row r="8" spans="1:41" x14ac:dyDescent="0.15">
      <c r="A8" s="92">
        <v>2</v>
      </c>
      <c r="B8" s="93">
        <f>Wagenliste!B8</f>
        <v>378078430758</v>
      </c>
      <c r="C8" s="124">
        <f>IF(ISBLANK(Wagenliste!B8),"",ROUND(MID(B8,12,1),0))</f>
        <v>8</v>
      </c>
      <c r="D8" t="str">
        <f t="shared" ref="D8:D36" si="1">MID(B8,1,1)</f>
        <v>3</v>
      </c>
      <c r="E8" t="str">
        <f t="shared" ref="E8:E36" si="2">MID(B8,2,1)</f>
        <v>7</v>
      </c>
      <c r="F8" t="str">
        <f t="shared" ref="F8:F36" si="3">MID(B8,3,1)</f>
        <v>8</v>
      </c>
      <c r="G8" t="str">
        <f t="shared" ref="G8:G36" si="4">MID(B8,4,1)</f>
        <v>0</v>
      </c>
      <c r="H8" t="str">
        <f t="shared" ref="H8:H36" si="5">MID(B8,5,1)</f>
        <v>7</v>
      </c>
      <c r="I8" t="str">
        <f t="shared" ref="I8:I36" si="6">MID(B8,6,1)</f>
        <v>8</v>
      </c>
      <c r="J8" t="str">
        <f t="shared" ref="J8:J36" si="7">MID(B8,7,1)</f>
        <v>4</v>
      </c>
      <c r="K8" t="str">
        <f t="shared" ref="K8:K36" si="8">MID(B8,8,1)</f>
        <v>3</v>
      </c>
      <c r="L8" t="str">
        <f t="shared" ref="L8:L36" si="9">MID(B8,9,1)</f>
        <v>0</v>
      </c>
      <c r="M8" t="str">
        <f t="shared" ref="M8:M36" si="10">MID(B8,10,1)</f>
        <v>7</v>
      </c>
      <c r="N8" s="92" t="str">
        <f t="shared" ref="N8:N36" si="11">MID(B8,11,1)</f>
        <v>5</v>
      </c>
      <c r="O8" s="94">
        <f t="shared" ref="O8:O36" si="12">D8*2</f>
        <v>6</v>
      </c>
      <c r="P8">
        <f t="shared" ref="P8:P36" si="13">E8*1</f>
        <v>7</v>
      </c>
      <c r="Q8">
        <f t="shared" ref="Q8:Q36" si="14">F8*2</f>
        <v>16</v>
      </c>
      <c r="R8">
        <f t="shared" ref="R8:R36" si="15">G8*1</f>
        <v>0</v>
      </c>
      <c r="S8">
        <f t="shared" ref="S8:S36" si="16">H8*2</f>
        <v>14</v>
      </c>
      <c r="T8">
        <f t="shared" ref="T8:T36" si="17">I8*1</f>
        <v>8</v>
      </c>
      <c r="U8">
        <f t="shared" ref="U8:U36" si="18">J8*2</f>
        <v>8</v>
      </c>
      <c r="V8">
        <f t="shared" ref="V8:V36" si="19">K8*1</f>
        <v>3</v>
      </c>
      <c r="W8">
        <f t="shared" ref="W8:W36" si="20">L8*2</f>
        <v>0</v>
      </c>
      <c r="X8">
        <f t="shared" ref="X8:X36" si="21">M8*1</f>
        <v>7</v>
      </c>
      <c r="Y8" s="92">
        <f t="shared" ref="Y8:Y36" si="22">N8*2</f>
        <v>10</v>
      </c>
      <c r="Z8">
        <f t="shared" ref="Z8:AJ36" si="23">IF(O8&gt;=10,MID(O8,1,1)+MID(O8,2,1),O8)</f>
        <v>6</v>
      </c>
      <c r="AA8">
        <f t="shared" si="0"/>
        <v>7</v>
      </c>
      <c r="AB8">
        <f t="shared" si="0"/>
        <v>7</v>
      </c>
      <c r="AC8">
        <f t="shared" si="0"/>
        <v>0</v>
      </c>
      <c r="AD8">
        <f t="shared" si="0"/>
        <v>5</v>
      </c>
      <c r="AE8">
        <f t="shared" si="0"/>
        <v>8</v>
      </c>
      <c r="AF8">
        <f t="shared" si="0"/>
        <v>8</v>
      </c>
      <c r="AG8">
        <f t="shared" si="0"/>
        <v>3</v>
      </c>
      <c r="AH8">
        <f t="shared" si="0"/>
        <v>0</v>
      </c>
      <c r="AI8">
        <f t="shared" si="0"/>
        <v>7</v>
      </c>
      <c r="AJ8">
        <f t="shared" si="0"/>
        <v>1</v>
      </c>
      <c r="AK8" s="95">
        <f t="shared" ref="AK8:AK36" si="24">SUM(Z8:AJ8)</f>
        <v>52</v>
      </c>
      <c r="AL8" s="95">
        <f t="shared" ref="AL8:AL36" si="25">ROUNDUP(AK8,-1)</f>
        <v>60</v>
      </c>
      <c r="AM8" s="95">
        <f t="shared" ref="AM8:AM36" si="26">AL8-AK8</f>
        <v>8</v>
      </c>
      <c r="AN8" s="124">
        <f>IF(ISBLANK(Wagenliste!B8),0,AM8-C8)</f>
        <v>0</v>
      </c>
      <c r="AO8">
        <f>IF(ISBLANK(Wagenliste!B8),"",IF(LEN(Wagenliste!B8)&gt;12,0,1))</f>
        <v>1</v>
      </c>
    </row>
    <row r="9" spans="1:41" x14ac:dyDescent="0.15">
      <c r="A9" s="92">
        <v>3</v>
      </c>
      <c r="B9" s="93">
        <f>Wagenliste!B9</f>
        <v>378078430659</v>
      </c>
      <c r="C9" s="124">
        <f>IF(ISBLANK(Wagenliste!B9),"",ROUND(MID(B9,12,1),0))</f>
        <v>9</v>
      </c>
      <c r="D9" t="str">
        <f t="shared" si="1"/>
        <v>3</v>
      </c>
      <c r="E9" t="str">
        <f t="shared" si="2"/>
        <v>7</v>
      </c>
      <c r="F9" t="str">
        <f t="shared" si="3"/>
        <v>8</v>
      </c>
      <c r="G9" t="str">
        <f t="shared" si="4"/>
        <v>0</v>
      </c>
      <c r="H9" t="str">
        <f t="shared" si="5"/>
        <v>7</v>
      </c>
      <c r="I9" t="str">
        <f t="shared" si="6"/>
        <v>8</v>
      </c>
      <c r="J9" t="str">
        <f t="shared" si="7"/>
        <v>4</v>
      </c>
      <c r="K9" t="str">
        <f t="shared" si="8"/>
        <v>3</v>
      </c>
      <c r="L9" t="str">
        <f t="shared" si="9"/>
        <v>0</v>
      </c>
      <c r="M9" t="str">
        <f t="shared" si="10"/>
        <v>6</v>
      </c>
      <c r="N9" s="92" t="str">
        <f t="shared" si="11"/>
        <v>5</v>
      </c>
      <c r="O9" s="94">
        <f t="shared" si="12"/>
        <v>6</v>
      </c>
      <c r="P9">
        <f t="shared" si="13"/>
        <v>7</v>
      </c>
      <c r="Q9">
        <f t="shared" si="14"/>
        <v>16</v>
      </c>
      <c r="R9">
        <f t="shared" si="15"/>
        <v>0</v>
      </c>
      <c r="S9">
        <f t="shared" si="16"/>
        <v>14</v>
      </c>
      <c r="T9">
        <f t="shared" si="17"/>
        <v>8</v>
      </c>
      <c r="U9">
        <f t="shared" si="18"/>
        <v>8</v>
      </c>
      <c r="V9">
        <f t="shared" si="19"/>
        <v>3</v>
      </c>
      <c r="W9">
        <f t="shared" si="20"/>
        <v>0</v>
      </c>
      <c r="X9">
        <f t="shared" si="21"/>
        <v>6</v>
      </c>
      <c r="Y9" s="92">
        <f t="shared" si="22"/>
        <v>10</v>
      </c>
      <c r="Z9">
        <f t="shared" si="23"/>
        <v>6</v>
      </c>
      <c r="AA9">
        <f t="shared" si="0"/>
        <v>7</v>
      </c>
      <c r="AB9">
        <f t="shared" si="0"/>
        <v>7</v>
      </c>
      <c r="AC9">
        <f t="shared" si="0"/>
        <v>0</v>
      </c>
      <c r="AD9">
        <f t="shared" si="0"/>
        <v>5</v>
      </c>
      <c r="AE9">
        <f t="shared" si="0"/>
        <v>8</v>
      </c>
      <c r="AF9">
        <f t="shared" si="0"/>
        <v>8</v>
      </c>
      <c r="AG9">
        <f t="shared" si="0"/>
        <v>3</v>
      </c>
      <c r="AH9">
        <f t="shared" si="0"/>
        <v>0</v>
      </c>
      <c r="AI9">
        <f t="shared" si="0"/>
        <v>6</v>
      </c>
      <c r="AJ9">
        <f t="shared" si="0"/>
        <v>1</v>
      </c>
      <c r="AK9" s="95">
        <f t="shared" si="24"/>
        <v>51</v>
      </c>
      <c r="AL9" s="95">
        <f t="shared" si="25"/>
        <v>60</v>
      </c>
      <c r="AM9" s="95">
        <f t="shared" si="26"/>
        <v>9</v>
      </c>
      <c r="AN9" s="124">
        <f>IF(ISBLANK(Wagenliste!B9),0,AM9-C9)</f>
        <v>0</v>
      </c>
      <c r="AO9">
        <f>IF(ISBLANK(Wagenliste!B9),"",IF(LEN(Wagenliste!B9)&gt;12,0,1))</f>
        <v>1</v>
      </c>
    </row>
    <row r="10" spans="1:41" x14ac:dyDescent="0.15">
      <c r="A10" s="92">
        <v>4</v>
      </c>
      <c r="B10" s="93">
        <f>Wagenliste!B10</f>
        <v>378478296361</v>
      </c>
      <c r="C10" s="124">
        <f>IF(ISBLANK(Wagenliste!B10),"",ROUND(MID(B10,12,1),0))</f>
        <v>1</v>
      </c>
      <c r="D10" t="str">
        <f t="shared" si="1"/>
        <v>3</v>
      </c>
      <c r="E10" t="str">
        <f t="shared" si="2"/>
        <v>7</v>
      </c>
      <c r="F10" t="str">
        <f t="shared" si="3"/>
        <v>8</v>
      </c>
      <c r="G10" t="str">
        <f t="shared" si="4"/>
        <v>4</v>
      </c>
      <c r="H10" t="str">
        <f t="shared" si="5"/>
        <v>7</v>
      </c>
      <c r="I10" t="str">
        <f t="shared" si="6"/>
        <v>8</v>
      </c>
      <c r="J10" t="str">
        <f t="shared" si="7"/>
        <v>2</v>
      </c>
      <c r="K10" t="str">
        <f t="shared" si="8"/>
        <v>9</v>
      </c>
      <c r="L10" t="str">
        <f t="shared" si="9"/>
        <v>6</v>
      </c>
      <c r="M10" t="str">
        <f t="shared" si="10"/>
        <v>3</v>
      </c>
      <c r="N10" s="92" t="str">
        <f t="shared" si="11"/>
        <v>6</v>
      </c>
      <c r="O10" s="94">
        <f t="shared" si="12"/>
        <v>6</v>
      </c>
      <c r="P10">
        <f t="shared" si="13"/>
        <v>7</v>
      </c>
      <c r="Q10">
        <f t="shared" si="14"/>
        <v>16</v>
      </c>
      <c r="R10">
        <f t="shared" si="15"/>
        <v>4</v>
      </c>
      <c r="S10">
        <f t="shared" si="16"/>
        <v>14</v>
      </c>
      <c r="T10">
        <f t="shared" si="17"/>
        <v>8</v>
      </c>
      <c r="U10">
        <f t="shared" si="18"/>
        <v>4</v>
      </c>
      <c r="V10">
        <f t="shared" si="19"/>
        <v>9</v>
      </c>
      <c r="W10">
        <f t="shared" si="20"/>
        <v>12</v>
      </c>
      <c r="X10">
        <f t="shared" si="21"/>
        <v>3</v>
      </c>
      <c r="Y10" s="92">
        <f t="shared" si="22"/>
        <v>12</v>
      </c>
      <c r="Z10">
        <f t="shared" si="23"/>
        <v>6</v>
      </c>
      <c r="AA10">
        <f t="shared" si="0"/>
        <v>7</v>
      </c>
      <c r="AB10">
        <f t="shared" si="0"/>
        <v>7</v>
      </c>
      <c r="AC10">
        <f t="shared" si="0"/>
        <v>4</v>
      </c>
      <c r="AD10">
        <f t="shared" si="0"/>
        <v>5</v>
      </c>
      <c r="AE10">
        <f t="shared" si="0"/>
        <v>8</v>
      </c>
      <c r="AF10">
        <f t="shared" si="0"/>
        <v>4</v>
      </c>
      <c r="AG10">
        <f t="shared" si="0"/>
        <v>9</v>
      </c>
      <c r="AH10">
        <f t="shared" si="0"/>
        <v>3</v>
      </c>
      <c r="AI10">
        <f t="shared" si="0"/>
        <v>3</v>
      </c>
      <c r="AJ10">
        <f t="shared" si="0"/>
        <v>3</v>
      </c>
      <c r="AK10" s="95">
        <f t="shared" si="24"/>
        <v>59</v>
      </c>
      <c r="AL10" s="95">
        <f t="shared" si="25"/>
        <v>60</v>
      </c>
      <c r="AM10" s="95">
        <f t="shared" si="26"/>
        <v>1</v>
      </c>
      <c r="AN10" s="124">
        <f>IF(ISBLANK(Wagenliste!B10),0,AM10-C10)</f>
        <v>0</v>
      </c>
      <c r="AO10">
        <f>IF(ISBLANK(Wagenliste!B10),"",IF(LEN(Wagenliste!B10)&gt;12,0,1))</f>
        <v>1</v>
      </c>
    </row>
    <row r="11" spans="1:41" x14ac:dyDescent="0.15">
      <c r="A11" s="92">
        <v>5</v>
      </c>
      <c r="B11" s="93">
        <f>Wagenliste!B11</f>
        <v>378078431368</v>
      </c>
      <c r="C11" s="124">
        <f>IF(ISBLANK(Wagenliste!B11),"",ROUND(MID(B11,12,1),0))</f>
        <v>8</v>
      </c>
      <c r="D11" t="str">
        <f t="shared" si="1"/>
        <v>3</v>
      </c>
      <c r="E11" t="str">
        <f t="shared" si="2"/>
        <v>7</v>
      </c>
      <c r="F11" t="str">
        <f t="shared" si="3"/>
        <v>8</v>
      </c>
      <c r="G11" t="str">
        <f t="shared" si="4"/>
        <v>0</v>
      </c>
      <c r="H11" t="str">
        <f t="shared" si="5"/>
        <v>7</v>
      </c>
      <c r="I11" t="str">
        <f t="shared" si="6"/>
        <v>8</v>
      </c>
      <c r="J11" t="str">
        <f t="shared" si="7"/>
        <v>4</v>
      </c>
      <c r="K11" t="str">
        <f t="shared" si="8"/>
        <v>3</v>
      </c>
      <c r="L11" t="str">
        <f t="shared" si="9"/>
        <v>1</v>
      </c>
      <c r="M11" t="str">
        <f t="shared" si="10"/>
        <v>3</v>
      </c>
      <c r="N11" s="92" t="str">
        <f t="shared" si="11"/>
        <v>6</v>
      </c>
      <c r="O11" s="94">
        <f t="shared" si="12"/>
        <v>6</v>
      </c>
      <c r="P11">
        <f t="shared" si="13"/>
        <v>7</v>
      </c>
      <c r="Q11">
        <f t="shared" si="14"/>
        <v>16</v>
      </c>
      <c r="R11">
        <f t="shared" si="15"/>
        <v>0</v>
      </c>
      <c r="S11">
        <f t="shared" si="16"/>
        <v>14</v>
      </c>
      <c r="T11">
        <f t="shared" si="17"/>
        <v>8</v>
      </c>
      <c r="U11">
        <f t="shared" si="18"/>
        <v>8</v>
      </c>
      <c r="V11">
        <f t="shared" si="19"/>
        <v>3</v>
      </c>
      <c r="W11">
        <f t="shared" si="20"/>
        <v>2</v>
      </c>
      <c r="X11">
        <f t="shared" si="21"/>
        <v>3</v>
      </c>
      <c r="Y11" s="92">
        <f t="shared" si="22"/>
        <v>12</v>
      </c>
      <c r="Z11">
        <f t="shared" si="23"/>
        <v>6</v>
      </c>
      <c r="AA11">
        <f t="shared" si="0"/>
        <v>7</v>
      </c>
      <c r="AB11">
        <f t="shared" si="0"/>
        <v>7</v>
      </c>
      <c r="AC11">
        <f t="shared" si="0"/>
        <v>0</v>
      </c>
      <c r="AD11">
        <f t="shared" si="0"/>
        <v>5</v>
      </c>
      <c r="AE11">
        <f t="shared" si="0"/>
        <v>8</v>
      </c>
      <c r="AF11">
        <f t="shared" si="0"/>
        <v>8</v>
      </c>
      <c r="AG11">
        <f t="shared" si="0"/>
        <v>3</v>
      </c>
      <c r="AH11">
        <f t="shared" si="0"/>
        <v>2</v>
      </c>
      <c r="AI11">
        <f t="shared" si="0"/>
        <v>3</v>
      </c>
      <c r="AJ11">
        <f t="shared" si="0"/>
        <v>3</v>
      </c>
      <c r="AK11" s="95">
        <f t="shared" si="24"/>
        <v>52</v>
      </c>
      <c r="AL11" s="95">
        <f t="shared" si="25"/>
        <v>60</v>
      </c>
      <c r="AM11" s="95">
        <f t="shared" si="26"/>
        <v>8</v>
      </c>
      <c r="AN11" s="124">
        <f>IF(ISBLANK(Wagenliste!B11),0,AM11-C11)</f>
        <v>0</v>
      </c>
      <c r="AO11">
        <f>IF(ISBLANK(Wagenliste!B11),"",IF(LEN(Wagenliste!B11)&gt;12,0,1))</f>
        <v>1</v>
      </c>
    </row>
    <row r="12" spans="1:41" x14ac:dyDescent="0.15">
      <c r="A12" s="92">
        <v>6</v>
      </c>
      <c r="B12" s="93">
        <f>Wagenliste!B12</f>
        <v>378478296023</v>
      </c>
      <c r="C12" s="124">
        <f>IF(ISBLANK(Wagenliste!B12),"",ROUND(MID(B12,12,1),0))</f>
        <v>3</v>
      </c>
      <c r="D12" t="str">
        <f t="shared" si="1"/>
        <v>3</v>
      </c>
      <c r="E12" t="str">
        <f t="shared" si="2"/>
        <v>7</v>
      </c>
      <c r="F12" t="str">
        <f t="shared" si="3"/>
        <v>8</v>
      </c>
      <c r="G12" t="str">
        <f t="shared" si="4"/>
        <v>4</v>
      </c>
      <c r="H12" t="str">
        <f t="shared" si="5"/>
        <v>7</v>
      </c>
      <c r="I12" t="str">
        <f t="shared" si="6"/>
        <v>8</v>
      </c>
      <c r="J12" t="str">
        <f t="shared" si="7"/>
        <v>2</v>
      </c>
      <c r="K12" t="str">
        <f t="shared" si="8"/>
        <v>9</v>
      </c>
      <c r="L12" t="str">
        <f t="shared" si="9"/>
        <v>6</v>
      </c>
      <c r="M12" t="str">
        <f t="shared" si="10"/>
        <v>0</v>
      </c>
      <c r="N12" s="92" t="str">
        <f t="shared" si="11"/>
        <v>2</v>
      </c>
      <c r="O12" s="94">
        <f t="shared" si="12"/>
        <v>6</v>
      </c>
      <c r="P12">
        <f t="shared" si="13"/>
        <v>7</v>
      </c>
      <c r="Q12">
        <f t="shared" si="14"/>
        <v>16</v>
      </c>
      <c r="R12">
        <f t="shared" si="15"/>
        <v>4</v>
      </c>
      <c r="S12">
        <f t="shared" si="16"/>
        <v>14</v>
      </c>
      <c r="T12">
        <f t="shared" si="17"/>
        <v>8</v>
      </c>
      <c r="U12">
        <f t="shared" si="18"/>
        <v>4</v>
      </c>
      <c r="V12">
        <f t="shared" si="19"/>
        <v>9</v>
      </c>
      <c r="W12">
        <f t="shared" si="20"/>
        <v>12</v>
      </c>
      <c r="X12">
        <f t="shared" si="21"/>
        <v>0</v>
      </c>
      <c r="Y12" s="92">
        <f t="shared" si="22"/>
        <v>4</v>
      </c>
      <c r="Z12">
        <f t="shared" si="23"/>
        <v>6</v>
      </c>
      <c r="AA12">
        <f t="shared" si="0"/>
        <v>7</v>
      </c>
      <c r="AB12">
        <f t="shared" si="0"/>
        <v>7</v>
      </c>
      <c r="AC12">
        <f t="shared" si="0"/>
        <v>4</v>
      </c>
      <c r="AD12">
        <f t="shared" si="0"/>
        <v>5</v>
      </c>
      <c r="AE12">
        <f t="shared" si="0"/>
        <v>8</v>
      </c>
      <c r="AF12">
        <f t="shared" si="0"/>
        <v>4</v>
      </c>
      <c r="AG12">
        <f t="shared" si="0"/>
        <v>9</v>
      </c>
      <c r="AH12">
        <f t="shared" si="0"/>
        <v>3</v>
      </c>
      <c r="AI12">
        <f t="shared" si="0"/>
        <v>0</v>
      </c>
      <c r="AJ12">
        <f t="shared" si="0"/>
        <v>4</v>
      </c>
      <c r="AK12" s="95">
        <f t="shared" si="24"/>
        <v>57</v>
      </c>
      <c r="AL12" s="95">
        <f t="shared" si="25"/>
        <v>60</v>
      </c>
      <c r="AM12" s="95">
        <f t="shared" si="26"/>
        <v>3</v>
      </c>
      <c r="AN12" s="124">
        <f>IF(ISBLANK(Wagenliste!B12),0,AM12-C12)</f>
        <v>0</v>
      </c>
      <c r="AO12">
        <f>IF(ISBLANK(Wagenliste!B12),"",IF(LEN(Wagenliste!B12)&gt;12,0,1))</f>
        <v>1</v>
      </c>
    </row>
    <row r="13" spans="1:41" x14ac:dyDescent="0.15">
      <c r="A13" s="92">
        <v>7</v>
      </c>
      <c r="B13" s="93">
        <f>Wagenliste!B13</f>
        <v>378078431046</v>
      </c>
      <c r="C13" s="124">
        <f>IF(ISBLANK(Wagenliste!B13),"",ROUND(MID(B13,12,1),0))</f>
        <v>6</v>
      </c>
      <c r="D13" t="str">
        <f t="shared" si="1"/>
        <v>3</v>
      </c>
      <c r="E13" t="str">
        <f t="shared" si="2"/>
        <v>7</v>
      </c>
      <c r="F13" t="str">
        <f t="shared" si="3"/>
        <v>8</v>
      </c>
      <c r="G13" t="str">
        <f t="shared" si="4"/>
        <v>0</v>
      </c>
      <c r="H13" t="str">
        <f t="shared" si="5"/>
        <v>7</v>
      </c>
      <c r="I13" t="str">
        <f t="shared" si="6"/>
        <v>8</v>
      </c>
      <c r="J13" t="str">
        <f t="shared" si="7"/>
        <v>4</v>
      </c>
      <c r="K13" t="str">
        <f t="shared" si="8"/>
        <v>3</v>
      </c>
      <c r="L13" t="str">
        <f t="shared" si="9"/>
        <v>1</v>
      </c>
      <c r="M13" t="str">
        <f t="shared" si="10"/>
        <v>0</v>
      </c>
      <c r="N13" s="92" t="str">
        <f t="shared" si="11"/>
        <v>4</v>
      </c>
      <c r="O13" s="94">
        <f t="shared" si="12"/>
        <v>6</v>
      </c>
      <c r="P13">
        <f t="shared" si="13"/>
        <v>7</v>
      </c>
      <c r="Q13">
        <f t="shared" si="14"/>
        <v>16</v>
      </c>
      <c r="R13">
        <f t="shared" si="15"/>
        <v>0</v>
      </c>
      <c r="S13">
        <f t="shared" si="16"/>
        <v>14</v>
      </c>
      <c r="T13">
        <f t="shared" si="17"/>
        <v>8</v>
      </c>
      <c r="U13">
        <f t="shared" si="18"/>
        <v>8</v>
      </c>
      <c r="V13">
        <f t="shared" si="19"/>
        <v>3</v>
      </c>
      <c r="W13">
        <f t="shared" si="20"/>
        <v>2</v>
      </c>
      <c r="X13">
        <f t="shared" si="21"/>
        <v>0</v>
      </c>
      <c r="Y13" s="92">
        <f t="shared" si="22"/>
        <v>8</v>
      </c>
      <c r="Z13">
        <f t="shared" si="23"/>
        <v>6</v>
      </c>
      <c r="AA13">
        <f t="shared" si="0"/>
        <v>7</v>
      </c>
      <c r="AB13">
        <f t="shared" si="0"/>
        <v>7</v>
      </c>
      <c r="AC13">
        <f t="shared" si="0"/>
        <v>0</v>
      </c>
      <c r="AD13">
        <f t="shared" si="0"/>
        <v>5</v>
      </c>
      <c r="AE13">
        <f t="shared" si="0"/>
        <v>8</v>
      </c>
      <c r="AF13">
        <f t="shared" si="0"/>
        <v>8</v>
      </c>
      <c r="AG13">
        <f t="shared" si="0"/>
        <v>3</v>
      </c>
      <c r="AH13">
        <f t="shared" si="0"/>
        <v>2</v>
      </c>
      <c r="AI13">
        <f t="shared" si="0"/>
        <v>0</v>
      </c>
      <c r="AJ13">
        <f t="shared" si="0"/>
        <v>8</v>
      </c>
      <c r="AK13" s="95">
        <f t="shared" si="24"/>
        <v>54</v>
      </c>
      <c r="AL13" s="95">
        <f t="shared" si="25"/>
        <v>60</v>
      </c>
      <c r="AM13" s="95">
        <f t="shared" si="26"/>
        <v>6</v>
      </c>
      <c r="AN13" s="124">
        <f>IF(ISBLANK(Wagenliste!B13),0,AM13-C13)</f>
        <v>0</v>
      </c>
      <c r="AO13">
        <f>IF(ISBLANK(Wagenliste!B13),"",IF(LEN(Wagenliste!B13)&gt;12,0,1))</f>
        <v>1</v>
      </c>
    </row>
    <row r="14" spans="1:41" x14ac:dyDescent="0.15">
      <c r="A14" s="92">
        <v>8</v>
      </c>
      <c r="B14" s="93">
        <f>Wagenliste!B14</f>
        <v>378078308749</v>
      </c>
      <c r="C14" s="124">
        <f>IF(ISBLANK(Wagenliste!B14),"",ROUND(MID(B14,12,1),0))</f>
        <v>9</v>
      </c>
      <c r="D14" t="str">
        <f t="shared" si="1"/>
        <v>3</v>
      </c>
      <c r="E14" t="str">
        <f t="shared" si="2"/>
        <v>7</v>
      </c>
      <c r="F14" t="str">
        <f t="shared" si="3"/>
        <v>8</v>
      </c>
      <c r="G14" t="str">
        <f t="shared" si="4"/>
        <v>0</v>
      </c>
      <c r="H14" t="str">
        <f t="shared" si="5"/>
        <v>7</v>
      </c>
      <c r="I14" t="str">
        <f t="shared" si="6"/>
        <v>8</v>
      </c>
      <c r="J14" t="str">
        <f t="shared" si="7"/>
        <v>3</v>
      </c>
      <c r="K14" t="str">
        <f t="shared" si="8"/>
        <v>0</v>
      </c>
      <c r="L14" t="str">
        <f t="shared" si="9"/>
        <v>8</v>
      </c>
      <c r="M14" t="str">
        <f t="shared" si="10"/>
        <v>7</v>
      </c>
      <c r="N14" s="92" t="str">
        <f t="shared" si="11"/>
        <v>4</v>
      </c>
      <c r="O14" s="94">
        <f t="shared" si="12"/>
        <v>6</v>
      </c>
      <c r="P14">
        <f t="shared" si="13"/>
        <v>7</v>
      </c>
      <c r="Q14">
        <f t="shared" si="14"/>
        <v>16</v>
      </c>
      <c r="R14">
        <f t="shared" si="15"/>
        <v>0</v>
      </c>
      <c r="S14">
        <f t="shared" si="16"/>
        <v>14</v>
      </c>
      <c r="T14">
        <f t="shared" si="17"/>
        <v>8</v>
      </c>
      <c r="U14">
        <f t="shared" si="18"/>
        <v>6</v>
      </c>
      <c r="V14">
        <f t="shared" si="19"/>
        <v>0</v>
      </c>
      <c r="W14">
        <f t="shared" si="20"/>
        <v>16</v>
      </c>
      <c r="X14">
        <f t="shared" si="21"/>
        <v>7</v>
      </c>
      <c r="Y14" s="92">
        <f t="shared" si="22"/>
        <v>8</v>
      </c>
      <c r="Z14">
        <f t="shared" si="23"/>
        <v>6</v>
      </c>
      <c r="AA14">
        <f t="shared" si="0"/>
        <v>7</v>
      </c>
      <c r="AB14">
        <f t="shared" si="0"/>
        <v>7</v>
      </c>
      <c r="AC14">
        <f t="shared" si="0"/>
        <v>0</v>
      </c>
      <c r="AD14">
        <f t="shared" si="0"/>
        <v>5</v>
      </c>
      <c r="AE14">
        <f t="shared" si="0"/>
        <v>8</v>
      </c>
      <c r="AF14">
        <f t="shared" si="0"/>
        <v>6</v>
      </c>
      <c r="AG14">
        <f t="shared" si="0"/>
        <v>0</v>
      </c>
      <c r="AH14">
        <f t="shared" si="0"/>
        <v>7</v>
      </c>
      <c r="AI14">
        <f t="shared" si="0"/>
        <v>7</v>
      </c>
      <c r="AJ14">
        <f t="shared" si="0"/>
        <v>8</v>
      </c>
      <c r="AK14" s="95">
        <f t="shared" si="24"/>
        <v>61</v>
      </c>
      <c r="AL14" s="95">
        <f t="shared" si="25"/>
        <v>70</v>
      </c>
      <c r="AM14" s="95">
        <f t="shared" si="26"/>
        <v>9</v>
      </c>
      <c r="AN14" s="124">
        <f>IF(ISBLANK(Wagenliste!B14),0,AM14-C14)</f>
        <v>0</v>
      </c>
      <c r="AO14">
        <f>IF(ISBLANK(Wagenliste!B14),"",IF(LEN(Wagenliste!B14)&gt;12,0,1))</f>
        <v>1</v>
      </c>
    </row>
    <row r="15" spans="1:41" x14ac:dyDescent="0.15">
      <c r="A15" s="92">
        <v>9</v>
      </c>
      <c r="B15" s="93">
        <f>Wagenliste!B15</f>
        <v>378078308970</v>
      </c>
      <c r="C15" s="124">
        <f>IF(ISBLANK(Wagenliste!B15),"",ROUND(MID(B15,12,1),0))</f>
        <v>0</v>
      </c>
      <c r="D15" t="str">
        <f t="shared" si="1"/>
        <v>3</v>
      </c>
      <c r="E15" t="str">
        <f t="shared" si="2"/>
        <v>7</v>
      </c>
      <c r="F15" t="str">
        <f t="shared" si="3"/>
        <v>8</v>
      </c>
      <c r="G15" t="str">
        <f t="shared" si="4"/>
        <v>0</v>
      </c>
      <c r="H15" t="str">
        <f t="shared" si="5"/>
        <v>7</v>
      </c>
      <c r="I15" t="str">
        <f t="shared" si="6"/>
        <v>8</v>
      </c>
      <c r="J15" t="str">
        <f t="shared" si="7"/>
        <v>3</v>
      </c>
      <c r="K15" t="str">
        <f t="shared" si="8"/>
        <v>0</v>
      </c>
      <c r="L15" t="str">
        <f t="shared" si="9"/>
        <v>8</v>
      </c>
      <c r="M15" t="str">
        <f t="shared" si="10"/>
        <v>9</v>
      </c>
      <c r="N15" s="92" t="str">
        <f t="shared" si="11"/>
        <v>7</v>
      </c>
      <c r="O15" s="94">
        <f t="shared" si="12"/>
        <v>6</v>
      </c>
      <c r="P15">
        <f t="shared" si="13"/>
        <v>7</v>
      </c>
      <c r="Q15">
        <f t="shared" si="14"/>
        <v>16</v>
      </c>
      <c r="R15">
        <f t="shared" si="15"/>
        <v>0</v>
      </c>
      <c r="S15">
        <f t="shared" si="16"/>
        <v>14</v>
      </c>
      <c r="T15">
        <f t="shared" si="17"/>
        <v>8</v>
      </c>
      <c r="U15">
        <f t="shared" si="18"/>
        <v>6</v>
      </c>
      <c r="V15">
        <f t="shared" si="19"/>
        <v>0</v>
      </c>
      <c r="W15">
        <f t="shared" si="20"/>
        <v>16</v>
      </c>
      <c r="X15">
        <f t="shared" si="21"/>
        <v>9</v>
      </c>
      <c r="Y15" s="92">
        <f t="shared" si="22"/>
        <v>14</v>
      </c>
      <c r="Z15">
        <f t="shared" si="23"/>
        <v>6</v>
      </c>
      <c r="AA15">
        <f t="shared" si="0"/>
        <v>7</v>
      </c>
      <c r="AB15">
        <f t="shared" si="0"/>
        <v>7</v>
      </c>
      <c r="AC15">
        <f t="shared" si="0"/>
        <v>0</v>
      </c>
      <c r="AD15">
        <f t="shared" si="0"/>
        <v>5</v>
      </c>
      <c r="AE15">
        <f t="shared" si="0"/>
        <v>8</v>
      </c>
      <c r="AF15">
        <f t="shared" si="0"/>
        <v>6</v>
      </c>
      <c r="AG15">
        <f t="shared" si="0"/>
        <v>0</v>
      </c>
      <c r="AH15">
        <f t="shared" si="0"/>
        <v>7</v>
      </c>
      <c r="AI15">
        <f t="shared" si="0"/>
        <v>9</v>
      </c>
      <c r="AJ15">
        <f t="shared" si="0"/>
        <v>5</v>
      </c>
      <c r="AK15" s="95">
        <f t="shared" si="24"/>
        <v>60</v>
      </c>
      <c r="AL15" s="95">
        <f t="shared" si="25"/>
        <v>60</v>
      </c>
      <c r="AM15" s="95">
        <f t="shared" si="26"/>
        <v>0</v>
      </c>
      <c r="AN15" s="124">
        <f>IF(ISBLANK(Wagenliste!B15),0,AM15-C15)</f>
        <v>0</v>
      </c>
      <c r="AO15">
        <f>IF(ISBLANK(Wagenliste!B15),"",IF(LEN(Wagenliste!B15)&gt;12,0,1))</f>
        <v>1</v>
      </c>
    </row>
    <row r="16" spans="1:41" x14ac:dyDescent="0.15">
      <c r="A16" s="92">
        <v>10</v>
      </c>
      <c r="B16" s="93">
        <f>Wagenliste!B16</f>
        <v>378079291522</v>
      </c>
      <c r="C16" s="124">
        <f>IF(ISBLANK(Wagenliste!B16),"",ROUND(MID(B16,12,1),0))</f>
        <v>2</v>
      </c>
      <c r="D16" t="str">
        <f t="shared" si="1"/>
        <v>3</v>
      </c>
      <c r="E16" t="str">
        <f t="shared" si="2"/>
        <v>7</v>
      </c>
      <c r="F16" t="str">
        <f t="shared" si="3"/>
        <v>8</v>
      </c>
      <c r="G16" t="str">
        <f t="shared" si="4"/>
        <v>0</v>
      </c>
      <c r="H16" t="str">
        <f t="shared" si="5"/>
        <v>7</v>
      </c>
      <c r="I16" t="str">
        <f t="shared" si="6"/>
        <v>9</v>
      </c>
      <c r="J16" t="str">
        <f t="shared" si="7"/>
        <v>2</v>
      </c>
      <c r="K16" t="str">
        <f t="shared" si="8"/>
        <v>9</v>
      </c>
      <c r="L16" t="str">
        <f t="shared" si="9"/>
        <v>1</v>
      </c>
      <c r="M16" t="str">
        <f t="shared" si="10"/>
        <v>5</v>
      </c>
      <c r="N16" s="92" t="str">
        <f t="shared" si="11"/>
        <v>2</v>
      </c>
      <c r="O16" s="94">
        <f t="shared" si="12"/>
        <v>6</v>
      </c>
      <c r="P16">
        <f t="shared" si="13"/>
        <v>7</v>
      </c>
      <c r="Q16">
        <f t="shared" si="14"/>
        <v>16</v>
      </c>
      <c r="R16">
        <f t="shared" si="15"/>
        <v>0</v>
      </c>
      <c r="S16">
        <f t="shared" si="16"/>
        <v>14</v>
      </c>
      <c r="T16">
        <f t="shared" si="17"/>
        <v>9</v>
      </c>
      <c r="U16">
        <f t="shared" si="18"/>
        <v>4</v>
      </c>
      <c r="V16">
        <f t="shared" si="19"/>
        <v>9</v>
      </c>
      <c r="W16">
        <f t="shared" si="20"/>
        <v>2</v>
      </c>
      <c r="X16">
        <f t="shared" si="21"/>
        <v>5</v>
      </c>
      <c r="Y16" s="92">
        <f t="shared" si="22"/>
        <v>4</v>
      </c>
      <c r="Z16">
        <f t="shared" si="23"/>
        <v>6</v>
      </c>
      <c r="AA16">
        <f t="shared" si="0"/>
        <v>7</v>
      </c>
      <c r="AB16">
        <f t="shared" si="0"/>
        <v>7</v>
      </c>
      <c r="AC16">
        <f t="shared" si="0"/>
        <v>0</v>
      </c>
      <c r="AD16">
        <f t="shared" si="0"/>
        <v>5</v>
      </c>
      <c r="AE16">
        <f t="shared" si="0"/>
        <v>9</v>
      </c>
      <c r="AF16">
        <f t="shared" si="0"/>
        <v>4</v>
      </c>
      <c r="AG16">
        <f t="shared" si="0"/>
        <v>9</v>
      </c>
      <c r="AH16">
        <f t="shared" si="0"/>
        <v>2</v>
      </c>
      <c r="AI16">
        <f t="shared" si="0"/>
        <v>5</v>
      </c>
      <c r="AJ16">
        <f t="shared" si="0"/>
        <v>4</v>
      </c>
      <c r="AK16" s="95">
        <f t="shared" si="24"/>
        <v>58</v>
      </c>
      <c r="AL16" s="95">
        <f t="shared" si="25"/>
        <v>60</v>
      </c>
      <c r="AM16" s="95">
        <f t="shared" si="26"/>
        <v>2</v>
      </c>
      <c r="AN16" s="124">
        <f>IF(ISBLANK(Wagenliste!B16),0,AM16-C16)</f>
        <v>0</v>
      </c>
      <c r="AO16">
        <f>IF(ISBLANK(Wagenliste!B16),"",IF(LEN(Wagenliste!B16)&gt;12,0,1))</f>
        <v>1</v>
      </c>
    </row>
    <row r="17" spans="1:41" x14ac:dyDescent="0.15">
      <c r="A17" s="92">
        <v>11</v>
      </c>
      <c r="B17" s="93">
        <f>Wagenliste!B17</f>
        <v>378078431459</v>
      </c>
      <c r="C17" s="124">
        <f>IF(ISBLANK(Wagenliste!B17),"",ROUND(MID(B17,12,1),0))</f>
        <v>9</v>
      </c>
      <c r="D17" t="str">
        <f t="shared" si="1"/>
        <v>3</v>
      </c>
      <c r="E17" t="str">
        <f t="shared" si="2"/>
        <v>7</v>
      </c>
      <c r="F17" t="str">
        <f t="shared" si="3"/>
        <v>8</v>
      </c>
      <c r="G17" t="str">
        <f t="shared" si="4"/>
        <v>0</v>
      </c>
      <c r="H17" t="str">
        <f t="shared" si="5"/>
        <v>7</v>
      </c>
      <c r="I17" t="str">
        <f t="shared" si="6"/>
        <v>8</v>
      </c>
      <c r="J17" t="str">
        <f t="shared" si="7"/>
        <v>4</v>
      </c>
      <c r="K17" t="str">
        <f t="shared" si="8"/>
        <v>3</v>
      </c>
      <c r="L17" t="str">
        <f t="shared" si="9"/>
        <v>1</v>
      </c>
      <c r="M17" t="str">
        <f t="shared" si="10"/>
        <v>4</v>
      </c>
      <c r="N17" s="92" t="str">
        <f t="shared" si="11"/>
        <v>5</v>
      </c>
      <c r="O17" s="94">
        <f t="shared" si="12"/>
        <v>6</v>
      </c>
      <c r="P17">
        <f t="shared" si="13"/>
        <v>7</v>
      </c>
      <c r="Q17">
        <f t="shared" si="14"/>
        <v>16</v>
      </c>
      <c r="R17">
        <f t="shared" si="15"/>
        <v>0</v>
      </c>
      <c r="S17">
        <f t="shared" si="16"/>
        <v>14</v>
      </c>
      <c r="T17">
        <f t="shared" si="17"/>
        <v>8</v>
      </c>
      <c r="U17">
        <f t="shared" si="18"/>
        <v>8</v>
      </c>
      <c r="V17">
        <f t="shared" si="19"/>
        <v>3</v>
      </c>
      <c r="W17">
        <f t="shared" si="20"/>
        <v>2</v>
      </c>
      <c r="X17">
        <f t="shared" si="21"/>
        <v>4</v>
      </c>
      <c r="Y17" s="92">
        <f t="shared" si="22"/>
        <v>10</v>
      </c>
      <c r="Z17">
        <f t="shared" si="23"/>
        <v>6</v>
      </c>
      <c r="AA17">
        <f t="shared" si="0"/>
        <v>7</v>
      </c>
      <c r="AB17">
        <f t="shared" si="0"/>
        <v>7</v>
      </c>
      <c r="AC17">
        <f t="shared" si="0"/>
        <v>0</v>
      </c>
      <c r="AD17">
        <f t="shared" si="0"/>
        <v>5</v>
      </c>
      <c r="AE17">
        <f t="shared" si="0"/>
        <v>8</v>
      </c>
      <c r="AF17">
        <f t="shared" si="0"/>
        <v>8</v>
      </c>
      <c r="AG17">
        <f t="shared" si="0"/>
        <v>3</v>
      </c>
      <c r="AH17">
        <f t="shared" si="0"/>
        <v>2</v>
      </c>
      <c r="AI17">
        <f t="shared" si="0"/>
        <v>4</v>
      </c>
      <c r="AJ17">
        <f t="shared" si="0"/>
        <v>1</v>
      </c>
      <c r="AK17" s="95">
        <f t="shared" si="24"/>
        <v>51</v>
      </c>
      <c r="AL17" s="95">
        <f t="shared" si="25"/>
        <v>60</v>
      </c>
      <c r="AM17" s="95">
        <f t="shared" si="26"/>
        <v>9</v>
      </c>
      <c r="AN17" s="124">
        <f>IF(ISBLANK(Wagenliste!B17),0,AM17-C17)</f>
        <v>0</v>
      </c>
      <c r="AO17">
        <f>IF(ISBLANK(Wagenliste!B17),"",IF(LEN(Wagenliste!B17)&gt;12,0,1))</f>
        <v>1</v>
      </c>
    </row>
    <row r="18" spans="1:41" x14ac:dyDescent="0.15">
      <c r="A18" s="92">
        <v>12</v>
      </c>
      <c r="B18" s="93">
        <f>Wagenliste!B18</f>
        <v>378478296239</v>
      </c>
      <c r="C18" s="124">
        <f>IF(ISBLANK(Wagenliste!B18),"",ROUND(MID(B18,12,1),0))</f>
        <v>9</v>
      </c>
      <c r="D18" t="str">
        <f t="shared" si="1"/>
        <v>3</v>
      </c>
      <c r="E18" t="str">
        <f t="shared" si="2"/>
        <v>7</v>
      </c>
      <c r="F18" t="str">
        <f t="shared" si="3"/>
        <v>8</v>
      </c>
      <c r="G18" t="str">
        <f t="shared" si="4"/>
        <v>4</v>
      </c>
      <c r="H18" t="str">
        <f t="shared" si="5"/>
        <v>7</v>
      </c>
      <c r="I18" t="str">
        <f t="shared" si="6"/>
        <v>8</v>
      </c>
      <c r="J18" t="str">
        <f t="shared" si="7"/>
        <v>2</v>
      </c>
      <c r="K18" t="str">
        <f t="shared" si="8"/>
        <v>9</v>
      </c>
      <c r="L18" t="str">
        <f t="shared" si="9"/>
        <v>6</v>
      </c>
      <c r="M18" t="str">
        <f t="shared" si="10"/>
        <v>2</v>
      </c>
      <c r="N18" s="92" t="str">
        <f t="shared" si="11"/>
        <v>3</v>
      </c>
      <c r="O18" s="94">
        <f t="shared" si="12"/>
        <v>6</v>
      </c>
      <c r="P18">
        <f t="shared" si="13"/>
        <v>7</v>
      </c>
      <c r="Q18">
        <f t="shared" si="14"/>
        <v>16</v>
      </c>
      <c r="R18">
        <f t="shared" si="15"/>
        <v>4</v>
      </c>
      <c r="S18">
        <f t="shared" si="16"/>
        <v>14</v>
      </c>
      <c r="T18">
        <f t="shared" si="17"/>
        <v>8</v>
      </c>
      <c r="U18">
        <f t="shared" si="18"/>
        <v>4</v>
      </c>
      <c r="V18">
        <f t="shared" si="19"/>
        <v>9</v>
      </c>
      <c r="W18">
        <f t="shared" si="20"/>
        <v>12</v>
      </c>
      <c r="X18">
        <f t="shared" si="21"/>
        <v>2</v>
      </c>
      <c r="Y18" s="92">
        <f t="shared" si="22"/>
        <v>6</v>
      </c>
      <c r="Z18">
        <f t="shared" si="23"/>
        <v>6</v>
      </c>
      <c r="AA18">
        <f t="shared" si="0"/>
        <v>7</v>
      </c>
      <c r="AB18">
        <f t="shared" si="0"/>
        <v>7</v>
      </c>
      <c r="AC18">
        <f t="shared" si="0"/>
        <v>4</v>
      </c>
      <c r="AD18">
        <f t="shared" si="0"/>
        <v>5</v>
      </c>
      <c r="AE18">
        <f t="shared" si="0"/>
        <v>8</v>
      </c>
      <c r="AF18">
        <f t="shared" si="0"/>
        <v>4</v>
      </c>
      <c r="AG18">
        <f t="shared" si="0"/>
        <v>9</v>
      </c>
      <c r="AH18">
        <f t="shared" si="0"/>
        <v>3</v>
      </c>
      <c r="AI18">
        <f t="shared" si="0"/>
        <v>2</v>
      </c>
      <c r="AJ18">
        <f t="shared" si="0"/>
        <v>6</v>
      </c>
      <c r="AK18" s="95">
        <f t="shared" si="24"/>
        <v>61</v>
      </c>
      <c r="AL18" s="95">
        <f t="shared" si="25"/>
        <v>70</v>
      </c>
      <c r="AM18" s="95">
        <f t="shared" si="26"/>
        <v>9</v>
      </c>
      <c r="AN18" s="124">
        <f>IF(ISBLANK(Wagenliste!B18),0,AM18-C18)</f>
        <v>0</v>
      </c>
      <c r="AO18">
        <f>IF(ISBLANK(Wagenliste!B18),"",IF(LEN(Wagenliste!B18)&gt;12,0,1))</f>
        <v>1</v>
      </c>
    </row>
    <row r="19" spans="1:41" x14ac:dyDescent="0.15">
      <c r="A19" s="92">
        <v>13</v>
      </c>
      <c r="B19" s="93">
        <f>Wagenliste!B19</f>
        <v>378078308723</v>
      </c>
      <c r="C19" s="124">
        <f>IF(ISBLANK(Wagenliste!B19),"",ROUND(MID(B19,12,1),0))</f>
        <v>3</v>
      </c>
      <c r="D19" t="str">
        <f t="shared" si="1"/>
        <v>3</v>
      </c>
      <c r="E19" t="str">
        <f t="shared" si="2"/>
        <v>7</v>
      </c>
      <c r="F19" t="str">
        <f t="shared" si="3"/>
        <v>8</v>
      </c>
      <c r="G19" t="str">
        <f t="shared" si="4"/>
        <v>0</v>
      </c>
      <c r="H19" t="str">
        <f t="shared" si="5"/>
        <v>7</v>
      </c>
      <c r="I19" t="str">
        <f t="shared" si="6"/>
        <v>8</v>
      </c>
      <c r="J19" t="str">
        <f t="shared" si="7"/>
        <v>3</v>
      </c>
      <c r="K19" t="str">
        <f t="shared" si="8"/>
        <v>0</v>
      </c>
      <c r="L19" t="str">
        <f t="shared" si="9"/>
        <v>8</v>
      </c>
      <c r="M19" t="str">
        <f t="shared" si="10"/>
        <v>7</v>
      </c>
      <c r="N19" s="92" t="str">
        <f t="shared" si="11"/>
        <v>2</v>
      </c>
      <c r="O19" s="94">
        <f t="shared" si="12"/>
        <v>6</v>
      </c>
      <c r="P19">
        <f t="shared" si="13"/>
        <v>7</v>
      </c>
      <c r="Q19">
        <f t="shared" si="14"/>
        <v>16</v>
      </c>
      <c r="R19">
        <f t="shared" si="15"/>
        <v>0</v>
      </c>
      <c r="S19">
        <f t="shared" si="16"/>
        <v>14</v>
      </c>
      <c r="T19">
        <f t="shared" si="17"/>
        <v>8</v>
      </c>
      <c r="U19">
        <f t="shared" si="18"/>
        <v>6</v>
      </c>
      <c r="V19">
        <f t="shared" si="19"/>
        <v>0</v>
      </c>
      <c r="W19">
        <f t="shared" si="20"/>
        <v>16</v>
      </c>
      <c r="X19">
        <f t="shared" si="21"/>
        <v>7</v>
      </c>
      <c r="Y19" s="92">
        <f t="shared" si="22"/>
        <v>4</v>
      </c>
      <c r="Z19">
        <f t="shared" si="23"/>
        <v>6</v>
      </c>
      <c r="AA19">
        <f t="shared" si="0"/>
        <v>7</v>
      </c>
      <c r="AB19">
        <f t="shared" si="0"/>
        <v>7</v>
      </c>
      <c r="AC19">
        <f t="shared" si="0"/>
        <v>0</v>
      </c>
      <c r="AD19">
        <f t="shared" si="0"/>
        <v>5</v>
      </c>
      <c r="AE19">
        <f t="shared" si="0"/>
        <v>8</v>
      </c>
      <c r="AF19">
        <f t="shared" si="0"/>
        <v>6</v>
      </c>
      <c r="AG19">
        <f t="shared" si="0"/>
        <v>0</v>
      </c>
      <c r="AH19">
        <f t="shared" si="0"/>
        <v>7</v>
      </c>
      <c r="AI19">
        <f t="shared" si="0"/>
        <v>7</v>
      </c>
      <c r="AJ19">
        <f t="shared" si="0"/>
        <v>4</v>
      </c>
      <c r="AK19" s="95">
        <f t="shared" si="24"/>
        <v>57</v>
      </c>
      <c r="AL19" s="95">
        <f t="shared" si="25"/>
        <v>60</v>
      </c>
      <c r="AM19" s="95">
        <f t="shared" si="26"/>
        <v>3</v>
      </c>
      <c r="AN19" s="124">
        <f>IF(ISBLANK(Wagenliste!B19),0,AM19-C19)</f>
        <v>0</v>
      </c>
      <c r="AO19">
        <f>IF(ISBLANK(Wagenliste!B19),"",IF(LEN(Wagenliste!B19)&gt;12,0,1))</f>
        <v>1</v>
      </c>
    </row>
    <row r="20" spans="1:41" x14ac:dyDescent="0.15">
      <c r="A20" s="92">
        <v>14</v>
      </c>
      <c r="B20" s="93">
        <f>Wagenliste!B20</f>
        <v>338078369851</v>
      </c>
      <c r="C20" s="124">
        <f>IF(ISBLANK(Wagenliste!B20),"",ROUND(MID(B20,12,1),0))</f>
        <v>1</v>
      </c>
      <c r="D20" t="str">
        <f t="shared" si="1"/>
        <v>3</v>
      </c>
      <c r="E20" t="str">
        <f t="shared" si="2"/>
        <v>3</v>
      </c>
      <c r="F20" t="str">
        <f t="shared" si="3"/>
        <v>8</v>
      </c>
      <c r="G20" t="str">
        <f t="shared" si="4"/>
        <v>0</v>
      </c>
      <c r="H20" t="str">
        <f t="shared" si="5"/>
        <v>7</v>
      </c>
      <c r="I20" t="str">
        <f t="shared" si="6"/>
        <v>8</v>
      </c>
      <c r="J20" t="str">
        <f t="shared" si="7"/>
        <v>3</v>
      </c>
      <c r="K20" t="str">
        <f t="shared" si="8"/>
        <v>6</v>
      </c>
      <c r="L20" t="str">
        <f t="shared" si="9"/>
        <v>9</v>
      </c>
      <c r="M20" t="str">
        <f t="shared" si="10"/>
        <v>8</v>
      </c>
      <c r="N20" s="92" t="str">
        <f t="shared" si="11"/>
        <v>5</v>
      </c>
      <c r="O20" s="94">
        <f t="shared" si="12"/>
        <v>6</v>
      </c>
      <c r="P20">
        <f t="shared" si="13"/>
        <v>3</v>
      </c>
      <c r="Q20">
        <f t="shared" si="14"/>
        <v>16</v>
      </c>
      <c r="R20">
        <f t="shared" si="15"/>
        <v>0</v>
      </c>
      <c r="S20">
        <f t="shared" si="16"/>
        <v>14</v>
      </c>
      <c r="T20">
        <f t="shared" si="17"/>
        <v>8</v>
      </c>
      <c r="U20">
        <f t="shared" si="18"/>
        <v>6</v>
      </c>
      <c r="V20">
        <f t="shared" si="19"/>
        <v>6</v>
      </c>
      <c r="W20">
        <f t="shared" si="20"/>
        <v>18</v>
      </c>
      <c r="X20">
        <f t="shared" si="21"/>
        <v>8</v>
      </c>
      <c r="Y20" s="92">
        <f t="shared" si="22"/>
        <v>10</v>
      </c>
      <c r="Z20">
        <f t="shared" si="23"/>
        <v>6</v>
      </c>
      <c r="AA20">
        <f t="shared" si="0"/>
        <v>3</v>
      </c>
      <c r="AB20">
        <f t="shared" si="0"/>
        <v>7</v>
      </c>
      <c r="AC20">
        <f t="shared" si="0"/>
        <v>0</v>
      </c>
      <c r="AD20">
        <f t="shared" si="0"/>
        <v>5</v>
      </c>
      <c r="AE20">
        <f t="shared" si="0"/>
        <v>8</v>
      </c>
      <c r="AF20">
        <f t="shared" si="0"/>
        <v>6</v>
      </c>
      <c r="AG20">
        <f t="shared" si="0"/>
        <v>6</v>
      </c>
      <c r="AH20">
        <f t="shared" si="0"/>
        <v>9</v>
      </c>
      <c r="AI20">
        <f t="shared" si="0"/>
        <v>8</v>
      </c>
      <c r="AJ20">
        <f t="shared" si="0"/>
        <v>1</v>
      </c>
      <c r="AK20" s="95">
        <f t="shared" si="24"/>
        <v>59</v>
      </c>
      <c r="AL20" s="95">
        <f t="shared" si="25"/>
        <v>60</v>
      </c>
      <c r="AM20" s="95">
        <f t="shared" si="26"/>
        <v>1</v>
      </c>
      <c r="AN20" s="124">
        <f>IF(ISBLANK(Wagenliste!B20),0,AM20-C20)</f>
        <v>0</v>
      </c>
      <c r="AO20">
        <f>IF(ISBLANK(Wagenliste!B20),"",IF(LEN(Wagenliste!B20)&gt;12,0,1))</f>
        <v>1</v>
      </c>
    </row>
    <row r="21" spans="1:41" x14ac:dyDescent="0.15">
      <c r="A21" s="92">
        <v>15</v>
      </c>
      <c r="B21" s="93">
        <f>Wagenliste!B21</f>
        <v>338078369836</v>
      </c>
      <c r="C21" s="124">
        <f>IF(ISBLANK(Wagenliste!B21),"",ROUND(MID(B21,12,1),0))</f>
        <v>6</v>
      </c>
      <c r="D21" t="str">
        <f t="shared" si="1"/>
        <v>3</v>
      </c>
      <c r="E21" t="str">
        <f t="shared" si="2"/>
        <v>3</v>
      </c>
      <c r="F21" t="str">
        <f t="shared" si="3"/>
        <v>8</v>
      </c>
      <c r="G21" t="str">
        <f t="shared" si="4"/>
        <v>0</v>
      </c>
      <c r="H21" t="str">
        <f t="shared" si="5"/>
        <v>7</v>
      </c>
      <c r="I21" t="str">
        <f t="shared" si="6"/>
        <v>8</v>
      </c>
      <c r="J21" t="str">
        <f t="shared" si="7"/>
        <v>3</v>
      </c>
      <c r="K21" t="str">
        <f t="shared" si="8"/>
        <v>6</v>
      </c>
      <c r="L21" t="str">
        <f t="shared" si="9"/>
        <v>9</v>
      </c>
      <c r="M21" t="str">
        <f t="shared" si="10"/>
        <v>8</v>
      </c>
      <c r="N21" s="92" t="str">
        <f t="shared" si="11"/>
        <v>3</v>
      </c>
      <c r="O21" s="94">
        <f t="shared" si="12"/>
        <v>6</v>
      </c>
      <c r="P21">
        <f t="shared" si="13"/>
        <v>3</v>
      </c>
      <c r="Q21">
        <f t="shared" si="14"/>
        <v>16</v>
      </c>
      <c r="R21">
        <f t="shared" si="15"/>
        <v>0</v>
      </c>
      <c r="S21">
        <f t="shared" si="16"/>
        <v>14</v>
      </c>
      <c r="T21">
        <f t="shared" si="17"/>
        <v>8</v>
      </c>
      <c r="U21">
        <f t="shared" si="18"/>
        <v>6</v>
      </c>
      <c r="V21">
        <f t="shared" si="19"/>
        <v>6</v>
      </c>
      <c r="W21">
        <f t="shared" si="20"/>
        <v>18</v>
      </c>
      <c r="X21">
        <f t="shared" si="21"/>
        <v>8</v>
      </c>
      <c r="Y21" s="92">
        <f t="shared" si="22"/>
        <v>6</v>
      </c>
      <c r="Z21">
        <f t="shared" si="23"/>
        <v>6</v>
      </c>
      <c r="AA21">
        <f t="shared" si="0"/>
        <v>3</v>
      </c>
      <c r="AB21">
        <f t="shared" si="0"/>
        <v>7</v>
      </c>
      <c r="AC21">
        <f t="shared" si="0"/>
        <v>0</v>
      </c>
      <c r="AD21">
        <f t="shared" si="0"/>
        <v>5</v>
      </c>
      <c r="AE21">
        <f t="shared" si="0"/>
        <v>8</v>
      </c>
      <c r="AF21">
        <f t="shared" si="0"/>
        <v>6</v>
      </c>
      <c r="AG21">
        <f t="shared" si="0"/>
        <v>6</v>
      </c>
      <c r="AH21">
        <f t="shared" si="0"/>
        <v>9</v>
      </c>
      <c r="AI21">
        <f t="shared" si="0"/>
        <v>8</v>
      </c>
      <c r="AJ21">
        <f t="shared" si="0"/>
        <v>6</v>
      </c>
      <c r="AK21" s="95">
        <f t="shared" si="24"/>
        <v>64</v>
      </c>
      <c r="AL21" s="95">
        <f t="shared" si="25"/>
        <v>70</v>
      </c>
      <c r="AM21" s="95">
        <f t="shared" si="26"/>
        <v>6</v>
      </c>
      <c r="AN21" s="124">
        <f>IF(ISBLANK(Wagenliste!B21),0,AM21-C21)</f>
        <v>0</v>
      </c>
      <c r="AO21">
        <f>IF(ISBLANK(Wagenliste!B21),"",IF(LEN(Wagenliste!B21)&gt;12,0,1))</f>
        <v>1</v>
      </c>
    </row>
    <row r="22" spans="1:41" x14ac:dyDescent="0.15">
      <c r="A22" s="92">
        <v>16</v>
      </c>
      <c r="B22" s="93">
        <f>Wagenliste!B22</f>
        <v>378478296288</v>
      </c>
      <c r="C22" s="124">
        <f>IF(ISBLANK(Wagenliste!B22),"",ROUND(MID(B22,12,1),0))</f>
        <v>8</v>
      </c>
      <c r="D22" t="str">
        <f t="shared" si="1"/>
        <v>3</v>
      </c>
      <c r="E22" t="str">
        <f t="shared" si="2"/>
        <v>7</v>
      </c>
      <c r="F22" t="str">
        <f t="shared" si="3"/>
        <v>8</v>
      </c>
      <c r="G22" t="str">
        <f t="shared" si="4"/>
        <v>4</v>
      </c>
      <c r="H22" t="str">
        <f t="shared" si="5"/>
        <v>7</v>
      </c>
      <c r="I22" t="str">
        <f t="shared" si="6"/>
        <v>8</v>
      </c>
      <c r="J22" t="str">
        <f t="shared" si="7"/>
        <v>2</v>
      </c>
      <c r="K22" t="str">
        <f t="shared" si="8"/>
        <v>9</v>
      </c>
      <c r="L22" t="str">
        <f t="shared" si="9"/>
        <v>6</v>
      </c>
      <c r="M22" t="str">
        <f t="shared" si="10"/>
        <v>2</v>
      </c>
      <c r="N22" s="92" t="str">
        <f t="shared" si="11"/>
        <v>8</v>
      </c>
      <c r="O22" s="94">
        <f t="shared" si="12"/>
        <v>6</v>
      </c>
      <c r="P22">
        <f t="shared" si="13"/>
        <v>7</v>
      </c>
      <c r="Q22">
        <f t="shared" si="14"/>
        <v>16</v>
      </c>
      <c r="R22">
        <f t="shared" si="15"/>
        <v>4</v>
      </c>
      <c r="S22">
        <f t="shared" si="16"/>
        <v>14</v>
      </c>
      <c r="T22">
        <f t="shared" si="17"/>
        <v>8</v>
      </c>
      <c r="U22">
        <f t="shared" si="18"/>
        <v>4</v>
      </c>
      <c r="V22">
        <f t="shared" si="19"/>
        <v>9</v>
      </c>
      <c r="W22">
        <f t="shared" si="20"/>
        <v>12</v>
      </c>
      <c r="X22">
        <f t="shared" si="21"/>
        <v>2</v>
      </c>
      <c r="Y22" s="92">
        <f t="shared" si="22"/>
        <v>16</v>
      </c>
      <c r="Z22">
        <f t="shared" si="23"/>
        <v>6</v>
      </c>
      <c r="AA22">
        <f t="shared" si="0"/>
        <v>7</v>
      </c>
      <c r="AB22">
        <f t="shared" si="0"/>
        <v>7</v>
      </c>
      <c r="AC22">
        <f t="shared" si="0"/>
        <v>4</v>
      </c>
      <c r="AD22">
        <f t="shared" si="0"/>
        <v>5</v>
      </c>
      <c r="AE22">
        <f t="shared" si="0"/>
        <v>8</v>
      </c>
      <c r="AF22">
        <f t="shared" si="0"/>
        <v>4</v>
      </c>
      <c r="AG22">
        <f t="shared" si="0"/>
        <v>9</v>
      </c>
      <c r="AH22">
        <f t="shared" si="0"/>
        <v>3</v>
      </c>
      <c r="AI22">
        <f t="shared" si="0"/>
        <v>2</v>
      </c>
      <c r="AJ22">
        <f t="shared" si="0"/>
        <v>7</v>
      </c>
      <c r="AK22" s="95">
        <f t="shared" si="24"/>
        <v>62</v>
      </c>
      <c r="AL22" s="95">
        <f t="shared" si="25"/>
        <v>70</v>
      </c>
      <c r="AM22" s="95">
        <f t="shared" si="26"/>
        <v>8</v>
      </c>
      <c r="AN22" s="124">
        <f>IF(ISBLANK(Wagenliste!B22),0,AM22-C22)</f>
        <v>0</v>
      </c>
      <c r="AO22">
        <f>IF(ISBLANK(Wagenliste!B22),"",IF(LEN(Wagenliste!B22)&gt;12,0,1))</f>
        <v>1</v>
      </c>
    </row>
    <row r="23" spans="1:41" x14ac:dyDescent="0.15">
      <c r="A23" s="92">
        <v>17</v>
      </c>
      <c r="B23" s="93">
        <f>Wagenliste!B23</f>
        <v>335478460553</v>
      </c>
      <c r="C23" s="124">
        <f>IF(ISBLANK(Wagenliste!B23),"",ROUND(MID(B23,12,1),0))</f>
        <v>3</v>
      </c>
      <c r="D23" t="str">
        <f t="shared" si="1"/>
        <v>3</v>
      </c>
      <c r="E23" t="str">
        <f t="shared" si="2"/>
        <v>3</v>
      </c>
      <c r="F23" t="str">
        <f t="shared" si="3"/>
        <v>5</v>
      </c>
      <c r="G23" t="str">
        <f t="shared" si="4"/>
        <v>4</v>
      </c>
      <c r="H23" t="str">
        <f t="shared" si="5"/>
        <v>7</v>
      </c>
      <c r="I23" t="str">
        <f t="shared" si="6"/>
        <v>8</v>
      </c>
      <c r="J23" t="str">
        <f t="shared" si="7"/>
        <v>4</v>
      </c>
      <c r="K23" t="str">
        <f t="shared" si="8"/>
        <v>6</v>
      </c>
      <c r="L23" t="str">
        <f t="shared" si="9"/>
        <v>0</v>
      </c>
      <c r="M23" t="str">
        <f t="shared" si="10"/>
        <v>5</v>
      </c>
      <c r="N23" s="92" t="str">
        <f t="shared" si="11"/>
        <v>5</v>
      </c>
      <c r="O23" s="94">
        <f t="shared" si="12"/>
        <v>6</v>
      </c>
      <c r="P23">
        <f t="shared" si="13"/>
        <v>3</v>
      </c>
      <c r="Q23">
        <f t="shared" si="14"/>
        <v>10</v>
      </c>
      <c r="R23">
        <f t="shared" si="15"/>
        <v>4</v>
      </c>
      <c r="S23">
        <f t="shared" si="16"/>
        <v>14</v>
      </c>
      <c r="T23">
        <f t="shared" si="17"/>
        <v>8</v>
      </c>
      <c r="U23">
        <f t="shared" si="18"/>
        <v>8</v>
      </c>
      <c r="V23">
        <f t="shared" si="19"/>
        <v>6</v>
      </c>
      <c r="W23">
        <f t="shared" si="20"/>
        <v>0</v>
      </c>
      <c r="X23">
        <f t="shared" si="21"/>
        <v>5</v>
      </c>
      <c r="Y23" s="92">
        <f t="shared" si="22"/>
        <v>10</v>
      </c>
      <c r="Z23">
        <f t="shared" si="23"/>
        <v>6</v>
      </c>
      <c r="AA23">
        <f t="shared" si="23"/>
        <v>3</v>
      </c>
      <c r="AB23">
        <f t="shared" si="23"/>
        <v>1</v>
      </c>
      <c r="AC23">
        <f t="shared" si="23"/>
        <v>4</v>
      </c>
      <c r="AD23">
        <f t="shared" si="23"/>
        <v>5</v>
      </c>
      <c r="AE23">
        <f t="shared" si="23"/>
        <v>8</v>
      </c>
      <c r="AF23">
        <f t="shared" si="23"/>
        <v>8</v>
      </c>
      <c r="AG23">
        <f t="shared" si="23"/>
        <v>6</v>
      </c>
      <c r="AH23">
        <f t="shared" si="23"/>
        <v>0</v>
      </c>
      <c r="AI23">
        <f t="shared" si="23"/>
        <v>5</v>
      </c>
      <c r="AJ23">
        <f t="shared" si="23"/>
        <v>1</v>
      </c>
      <c r="AK23" s="95">
        <f t="shared" si="24"/>
        <v>47</v>
      </c>
      <c r="AL23" s="95">
        <f t="shared" si="25"/>
        <v>50</v>
      </c>
      <c r="AM23" s="95">
        <f t="shared" si="26"/>
        <v>3</v>
      </c>
      <c r="AN23" s="124">
        <f>IF(ISBLANK(Wagenliste!B23),0,AM23-C23)</f>
        <v>0</v>
      </c>
      <c r="AO23">
        <f>IF(ISBLANK(Wagenliste!B23),"",IF(LEN(Wagenliste!B23)&gt;12,0,1))</f>
        <v>1</v>
      </c>
    </row>
    <row r="24" spans="1:41" x14ac:dyDescent="0.15">
      <c r="A24" s="92">
        <v>18</v>
      </c>
      <c r="B24" s="93">
        <f>Wagenliste!B24</f>
        <v>378478295926</v>
      </c>
      <c r="C24" s="124">
        <f>IF(ISBLANK(Wagenliste!B24),"",ROUND(MID(B24,12,1),0))</f>
        <v>6</v>
      </c>
      <c r="D24" t="str">
        <f t="shared" si="1"/>
        <v>3</v>
      </c>
      <c r="E24" t="str">
        <f t="shared" si="2"/>
        <v>7</v>
      </c>
      <c r="F24" t="str">
        <f t="shared" si="3"/>
        <v>8</v>
      </c>
      <c r="G24" t="str">
        <f t="shared" si="4"/>
        <v>4</v>
      </c>
      <c r="H24" t="str">
        <f t="shared" si="5"/>
        <v>7</v>
      </c>
      <c r="I24" t="str">
        <f t="shared" si="6"/>
        <v>8</v>
      </c>
      <c r="J24" t="str">
        <f t="shared" si="7"/>
        <v>2</v>
      </c>
      <c r="K24" t="str">
        <f t="shared" si="8"/>
        <v>9</v>
      </c>
      <c r="L24" t="str">
        <f t="shared" si="9"/>
        <v>5</v>
      </c>
      <c r="M24" t="str">
        <f t="shared" si="10"/>
        <v>9</v>
      </c>
      <c r="N24" s="92" t="str">
        <f t="shared" si="11"/>
        <v>2</v>
      </c>
      <c r="O24" s="94">
        <f t="shared" si="12"/>
        <v>6</v>
      </c>
      <c r="P24">
        <f t="shared" si="13"/>
        <v>7</v>
      </c>
      <c r="Q24">
        <f t="shared" si="14"/>
        <v>16</v>
      </c>
      <c r="R24">
        <f t="shared" si="15"/>
        <v>4</v>
      </c>
      <c r="S24">
        <f t="shared" si="16"/>
        <v>14</v>
      </c>
      <c r="T24">
        <f t="shared" si="17"/>
        <v>8</v>
      </c>
      <c r="U24">
        <f t="shared" si="18"/>
        <v>4</v>
      </c>
      <c r="V24">
        <f t="shared" si="19"/>
        <v>9</v>
      </c>
      <c r="W24">
        <f t="shared" si="20"/>
        <v>10</v>
      </c>
      <c r="X24">
        <f t="shared" si="21"/>
        <v>9</v>
      </c>
      <c r="Y24" s="92">
        <f t="shared" si="22"/>
        <v>4</v>
      </c>
      <c r="Z24">
        <f t="shared" si="23"/>
        <v>6</v>
      </c>
      <c r="AA24">
        <f t="shared" si="23"/>
        <v>7</v>
      </c>
      <c r="AB24">
        <f t="shared" si="23"/>
        <v>7</v>
      </c>
      <c r="AC24">
        <f t="shared" si="23"/>
        <v>4</v>
      </c>
      <c r="AD24">
        <f t="shared" si="23"/>
        <v>5</v>
      </c>
      <c r="AE24">
        <f t="shared" si="23"/>
        <v>8</v>
      </c>
      <c r="AF24">
        <f t="shared" si="23"/>
        <v>4</v>
      </c>
      <c r="AG24">
        <f t="shared" si="23"/>
        <v>9</v>
      </c>
      <c r="AH24">
        <f t="shared" si="23"/>
        <v>1</v>
      </c>
      <c r="AI24">
        <f t="shared" si="23"/>
        <v>9</v>
      </c>
      <c r="AJ24">
        <f t="shared" si="23"/>
        <v>4</v>
      </c>
      <c r="AK24" s="95">
        <f t="shared" si="24"/>
        <v>64</v>
      </c>
      <c r="AL24" s="95">
        <f t="shared" si="25"/>
        <v>70</v>
      </c>
      <c r="AM24" s="95">
        <f t="shared" si="26"/>
        <v>6</v>
      </c>
      <c r="AN24" s="124">
        <f>IF(ISBLANK(Wagenliste!B24),0,AM24-C24)</f>
        <v>0</v>
      </c>
      <c r="AO24">
        <f>IF(ISBLANK(Wagenliste!B24),"",IF(LEN(Wagenliste!B24)&gt;12,0,1))</f>
        <v>1</v>
      </c>
    </row>
    <row r="25" spans="1:41" x14ac:dyDescent="0.15">
      <c r="A25" s="92">
        <v>19</v>
      </c>
      <c r="B25" s="93">
        <f>Wagenliste!B25</f>
        <v>378478296718</v>
      </c>
      <c r="C25" s="124">
        <f>IF(ISBLANK(Wagenliste!B25),"",ROUND(MID(B25,12,1),0))</f>
        <v>8</v>
      </c>
      <c r="D25" t="str">
        <f t="shared" si="1"/>
        <v>3</v>
      </c>
      <c r="E25" t="str">
        <f t="shared" si="2"/>
        <v>7</v>
      </c>
      <c r="F25" t="str">
        <f t="shared" si="3"/>
        <v>8</v>
      </c>
      <c r="G25" t="str">
        <f t="shared" si="4"/>
        <v>4</v>
      </c>
      <c r="H25" t="str">
        <f t="shared" si="5"/>
        <v>7</v>
      </c>
      <c r="I25" t="str">
        <f t="shared" si="6"/>
        <v>8</v>
      </c>
      <c r="J25" t="str">
        <f t="shared" si="7"/>
        <v>2</v>
      </c>
      <c r="K25" t="str">
        <f t="shared" si="8"/>
        <v>9</v>
      </c>
      <c r="L25" t="str">
        <f t="shared" si="9"/>
        <v>6</v>
      </c>
      <c r="M25" t="str">
        <f t="shared" si="10"/>
        <v>7</v>
      </c>
      <c r="N25" s="92" t="str">
        <f t="shared" si="11"/>
        <v>1</v>
      </c>
      <c r="O25" s="94">
        <f t="shared" si="12"/>
        <v>6</v>
      </c>
      <c r="P25">
        <f t="shared" si="13"/>
        <v>7</v>
      </c>
      <c r="Q25">
        <f t="shared" si="14"/>
        <v>16</v>
      </c>
      <c r="R25">
        <f t="shared" si="15"/>
        <v>4</v>
      </c>
      <c r="S25">
        <f t="shared" si="16"/>
        <v>14</v>
      </c>
      <c r="T25">
        <f t="shared" si="17"/>
        <v>8</v>
      </c>
      <c r="U25">
        <f t="shared" si="18"/>
        <v>4</v>
      </c>
      <c r="V25">
        <f t="shared" si="19"/>
        <v>9</v>
      </c>
      <c r="W25">
        <f t="shared" si="20"/>
        <v>12</v>
      </c>
      <c r="X25">
        <f t="shared" si="21"/>
        <v>7</v>
      </c>
      <c r="Y25" s="92">
        <f t="shared" si="22"/>
        <v>2</v>
      </c>
      <c r="Z25">
        <f t="shared" si="23"/>
        <v>6</v>
      </c>
      <c r="AA25">
        <f t="shared" si="23"/>
        <v>7</v>
      </c>
      <c r="AB25">
        <f t="shared" si="23"/>
        <v>7</v>
      </c>
      <c r="AC25">
        <f t="shared" si="23"/>
        <v>4</v>
      </c>
      <c r="AD25">
        <f t="shared" si="23"/>
        <v>5</v>
      </c>
      <c r="AE25">
        <f t="shared" si="23"/>
        <v>8</v>
      </c>
      <c r="AF25">
        <f t="shared" si="23"/>
        <v>4</v>
      </c>
      <c r="AG25">
        <f t="shared" si="23"/>
        <v>9</v>
      </c>
      <c r="AH25">
        <f t="shared" si="23"/>
        <v>3</v>
      </c>
      <c r="AI25">
        <f t="shared" si="23"/>
        <v>7</v>
      </c>
      <c r="AJ25">
        <f t="shared" si="23"/>
        <v>2</v>
      </c>
      <c r="AK25" s="95">
        <f t="shared" si="24"/>
        <v>62</v>
      </c>
      <c r="AL25" s="95">
        <f t="shared" si="25"/>
        <v>70</v>
      </c>
      <c r="AM25" s="95">
        <f t="shared" si="26"/>
        <v>8</v>
      </c>
      <c r="AN25" s="124">
        <f>IF(ISBLANK(Wagenliste!B25),0,AM25-C25)</f>
        <v>0</v>
      </c>
      <c r="AO25">
        <f>IF(ISBLANK(Wagenliste!B25),"",IF(LEN(Wagenliste!B25)&gt;12,0,1))</f>
        <v>1</v>
      </c>
    </row>
    <row r="26" spans="1:41" x14ac:dyDescent="0.15">
      <c r="A26" s="92">
        <v>20</v>
      </c>
      <c r="B26" s="93">
        <f>Wagenliste!B26</f>
        <v>378079297701</v>
      </c>
      <c r="C26" s="124">
        <f>IF(ISBLANK(Wagenliste!B26),"",ROUND(MID(B26,12,1),0))</f>
        <v>1</v>
      </c>
      <c r="D26" t="str">
        <f t="shared" si="1"/>
        <v>3</v>
      </c>
      <c r="E26" t="str">
        <f t="shared" si="2"/>
        <v>7</v>
      </c>
      <c r="F26" t="str">
        <f t="shared" si="3"/>
        <v>8</v>
      </c>
      <c r="G26" t="str">
        <f t="shared" si="4"/>
        <v>0</v>
      </c>
      <c r="H26" t="str">
        <f t="shared" si="5"/>
        <v>7</v>
      </c>
      <c r="I26" t="str">
        <f t="shared" si="6"/>
        <v>9</v>
      </c>
      <c r="J26" t="str">
        <f t="shared" si="7"/>
        <v>2</v>
      </c>
      <c r="K26" t="str">
        <f t="shared" si="8"/>
        <v>9</v>
      </c>
      <c r="L26" t="str">
        <f t="shared" si="9"/>
        <v>7</v>
      </c>
      <c r="M26" t="str">
        <f t="shared" si="10"/>
        <v>7</v>
      </c>
      <c r="N26" s="92" t="str">
        <f t="shared" si="11"/>
        <v>0</v>
      </c>
      <c r="O26" s="94">
        <f t="shared" si="12"/>
        <v>6</v>
      </c>
      <c r="P26">
        <f t="shared" si="13"/>
        <v>7</v>
      </c>
      <c r="Q26">
        <f t="shared" si="14"/>
        <v>16</v>
      </c>
      <c r="R26">
        <f t="shared" si="15"/>
        <v>0</v>
      </c>
      <c r="S26">
        <f t="shared" si="16"/>
        <v>14</v>
      </c>
      <c r="T26">
        <f t="shared" si="17"/>
        <v>9</v>
      </c>
      <c r="U26">
        <f t="shared" si="18"/>
        <v>4</v>
      </c>
      <c r="V26">
        <f t="shared" si="19"/>
        <v>9</v>
      </c>
      <c r="W26">
        <f t="shared" si="20"/>
        <v>14</v>
      </c>
      <c r="X26">
        <f t="shared" si="21"/>
        <v>7</v>
      </c>
      <c r="Y26" s="92">
        <f t="shared" si="22"/>
        <v>0</v>
      </c>
      <c r="Z26">
        <f t="shared" si="23"/>
        <v>6</v>
      </c>
      <c r="AA26">
        <f t="shared" si="23"/>
        <v>7</v>
      </c>
      <c r="AB26">
        <f t="shared" si="23"/>
        <v>7</v>
      </c>
      <c r="AC26">
        <f t="shared" si="23"/>
        <v>0</v>
      </c>
      <c r="AD26">
        <f t="shared" si="23"/>
        <v>5</v>
      </c>
      <c r="AE26">
        <f t="shared" si="23"/>
        <v>9</v>
      </c>
      <c r="AF26">
        <f t="shared" si="23"/>
        <v>4</v>
      </c>
      <c r="AG26">
        <f t="shared" si="23"/>
        <v>9</v>
      </c>
      <c r="AH26">
        <f t="shared" si="23"/>
        <v>5</v>
      </c>
      <c r="AI26">
        <f t="shared" si="23"/>
        <v>7</v>
      </c>
      <c r="AJ26">
        <f t="shared" si="23"/>
        <v>0</v>
      </c>
      <c r="AK26" s="95">
        <f t="shared" si="24"/>
        <v>59</v>
      </c>
      <c r="AL26" s="95">
        <f t="shared" si="25"/>
        <v>60</v>
      </c>
      <c r="AM26" s="95">
        <f t="shared" si="26"/>
        <v>1</v>
      </c>
      <c r="AN26" s="124">
        <f>IF(ISBLANK(Wagenliste!B26),0,AM26-C26)</f>
        <v>0</v>
      </c>
      <c r="AO26">
        <f>IF(ISBLANK(Wagenliste!B26),"",IF(LEN(Wagenliste!B26)&gt;12,0,1))</f>
        <v>1</v>
      </c>
    </row>
    <row r="27" spans="1:41" x14ac:dyDescent="0.15">
      <c r="A27" s="92">
        <v>21</v>
      </c>
      <c r="B27" s="93">
        <f>Wagenliste!B27</f>
        <v>0</v>
      </c>
      <c r="C27" s="124" t="str">
        <f>IF(ISBLANK(Wagenliste!B27),"",ROUND(MID(B27,12,1),0))</f>
        <v/>
      </c>
      <c r="D27" t="str">
        <f t="shared" si="1"/>
        <v>0</v>
      </c>
      <c r="E27" t="str">
        <f t="shared" si="2"/>
        <v/>
      </c>
      <c r="F27" t="str">
        <f t="shared" si="3"/>
        <v/>
      </c>
      <c r="G27" t="str">
        <f t="shared" si="4"/>
        <v/>
      </c>
      <c r="H27" t="str">
        <f t="shared" si="5"/>
        <v/>
      </c>
      <c r="I27" t="str">
        <f t="shared" si="6"/>
        <v/>
      </c>
      <c r="J27" t="str">
        <f t="shared" si="7"/>
        <v/>
      </c>
      <c r="K27" t="str">
        <f t="shared" si="8"/>
        <v/>
      </c>
      <c r="L27" t="str">
        <f t="shared" si="9"/>
        <v/>
      </c>
      <c r="M27" t="str">
        <f t="shared" si="10"/>
        <v/>
      </c>
      <c r="N27" s="92" t="str">
        <f t="shared" si="11"/>
        <v/>
      </c>
      <c r="O27" s="94">
        <f t="shared" si="12"/>
        <v>0</v>
      </c>
      <c r="P27" t="e">
        <f t="shared" si="13"/>
        <v>#VALUE!</v>
      </c>
      <c r="Q27" t="e">
        <f t="shared" si="14"/>
        <v>#VALUE!</v>
      </c>
      <c r="R27" t="e">
        <f t="shared" si="15"/>
        <v>#VALUE!</v>
      </c>
      <c r="S27" t="e">
        <f t="shared" si="16"/>
        <v>#VALUE!</v>
      </c>
      <c r="T27" t="e">
        <f t="shared" si="17"/>
        <v>#VALUE!</v>
      </c>
      <c r="U27" t="e">
        <f t="shared" si="18"/>
        <v>#VALUE!</v>
      </c>
      <c r="V27" t="e">
        <f t="shared" si="19"/>
        <v>#VALUE!</v>
      </c>
      <c r="W27" t="e">
        <f t="shared" si="20"/>
        <v>#VALUE!</v>
      </c>
      <c r="X27" t="e">
        <f t="shared" si="21"/>
        <v>#VALUE!</v>
      </c>
      <c r="Y27" s="92" t="e">
        <f t="shared" si="22"/>
        <v>#VALUE!</v>
      </c>
      <c r="Z27">
        <f t="shared" si="23"/>
        <v>0</v>
      </c>
      <c r="AA27" t="e">
        <f t="shared" si="23"/>
        <v>#VALUE!</v>
      </c>
      <c r="AB27" t="e">
        <f t="shared" si="23"/>
        <v>#VALUE!</v>
      </c>
      <c r="AC27" t="e">
        <f t="shared" si="23"/>
        <v>#VALUE!</v>
      </c>
      <c r="AD27" t="e">
        <f t="shared" si="23"/>
        <v>#VALUE!</v>
      </c>
      <c r="AE27" t="e">
        <f t="shared" si="23"/>
        <v>#VALUE!</v>
      </c>
      <c r="AF27" t="e">
        <f t="shared" si="23"/>
        <v>#VALUE!</v>
      </c>
      <c r="AG27" t="e">
        <f t="shared" si="23"/>
        <v>#VALUE!</v>
      </c>
      <c r="AH27" t="e">
        <f t="shared" si="23"/>
        <v>#VALUE!</v>
      </c>
      <c r="AI27" t="e">
        <f t="shared" si="23"/>
        <v>#VALUE!</v>
      </c>
      <c r="AJ27" t="e">
        <f t="shared" si="23"/>
        <v>#VALUE!</v>
      </c>
      <c r="AK27" s="95" t="e">
        <f t="shared" si="24"/>
        <v>#VALUE!</v>
      </c>
      <c r="AL27" s="95" t="e">
        <f t="shared" si="25"/>
        <v>#VALUE!</v>
      </c>
      <c r="AM27" s="95" t="e">
        <f t="shared" si="26"/>
        <v>#VALUE!</v>
      </c>
      <c r="AN27" s="124">
        <f>IF(ISBLANK(Wagenliste!B27),0,AM27-C27)</f>
        <v>0</v>
      </c>
      <c r="AO27" t="str">
        <f>IF(ISBLANK(Wagenliste!B27),"",IF(LEN(Wagenliste!B27)&gt;12,0,1))</f>
        <v/>
      </c>
    </row>
    <row r="28" spans="1:41" x14ac:dyDescent="0.15">
      <c r="A28" s="92">
        <v>22</v>
      </c>
      <c r="B28" s="93">
        <f>Wagenliste!B28</f>
        <v>0</v>
      </c>
      <c r="C28" s="124" t="str">
        <f>IF(ISBLANK(Wagenliste!B28),"",ROUND(MID(B28,12,1),0))</f>
        <v/>
      </c>
      <c r="D28" t="str">
        <f t="shared" si="1"/>
        <v>0</v>
      </c>
      <c r="E28" t="str">
        <f t="shared" si="2"/>
        <v/>
      </c>
      <c r="F28" t="str">
        <f t="shared" si="3"/>
        <v/>
      </c>
      <c r="G28" t="str">
        <f t="shared" si="4"/>
        <v/>
      </c>
      <c r="H28" t="str">
        <f t="shared" si="5"/>
        <v/>
      </c>
      <c r="I28" t="str">
        <f t="shared" si="6"/>
        <v/>
      </c>
      <c r="J28" t="str">
        <f t="shared" si="7"/>
        <v/>
      </c>
      <c r="K28" t="str">
        <f t="shared" si="8"/>
        <v/>
      </c>
      <c r="L28" t="str">
        <f t="shared" si="9"/>
        <v/>
      </c>
      <c r="M28" t="str">
        <f t="shared" si="10"/>
        <v/>
      </c>
      <c r="N28" s="92" t="str">
        <f t="shared" si="11"/>
        <v/>
      </c>
      <c r="O28" s="94">
        <f t="shared" si="12"/>
        <v>0</v>
      </c>
      <c r="P28" t="e">
        <f t="shared" si="13"/>
        <v>#VALUE!</v>
      </c>
      <c r="Q28" t="e">
        <f t="shared" si="14"/>
        <v>#VALUE!</v>
      </c>
      <c r="R28" t="e">
        <f t="shared" si="15"/>
        <v>#VALUE!</v>
      </c>
      <c r="S28" t="e">
        <f t="shared" si="16"/>
        <v>#VALUE!</v>
      </c>
      <c r="T28" t="e">
        <f t="shared" si="17"/>
        <v>#VALUE!</v>
      </c>
      <c r="U28" t="e">
        <f t="shared" si="18"/>
        <v>#VALUE!</v>
      </c>
      <c r="V28" t="e">
        <f t="shared" si="19"/>
        <v>#VALUE!</v>
      </c>
      <c r="W28" t="e">
        <f t="shared" si="20"/>
        <v>#VALUE!</v>
      </c>
      <c r="X28" t="e">
        <f t="shared" si="21"/>
        <v>#VALUE!</v>
      </c>
      <c r="Y28" s="92" t="e">
        <f t="shared" si="22"/>
        <v>#VALUE!</v>
      </c>
      <c r="Z28">
        <f t="shared" si="23"/>
        <v>0</v>
      </c>
      <c r="AA28" t="e">
        <f t="shared" si="23"/>
        <v>#VALUE!</v>
      </c>
      <c r="AB28" t="e">
        <f t="shared" si="23"/>
        <v>#VALUE!</v>
      </c>
      <c r="AC28" t="e">
        <f t="shared" si="23"/>
        <v>#VALUE!</v>
      </c>
      <c r="AD28" t="e">
        <f t="shared" si="23"/>
        <v>#VALUE!</v>
      </c>
      <c r="AE28" t="e">
        <f t="shared" si="23"/>
        <v>#VALUE!</v>
      </c>
      <c r="AF28" t="e">
        <f t="shared" si="23"/>
        <v>#VALUE!</v>
      </c>
      <c r="AG28" t="e">
        <f t="shared" si="23"/>
        <v>#VALUE!</v>
      </c>
      <c r="AH28" t="e">
        <f t="shared" si="23"/>
        <v>#VALUE!</v>
      </c>
      <c r="AI28" t="e">
        <f t="shared" si="23"/>
        <v>#VALUE!</v>
      </c>
      <c r="AJ28" t="e">
        <f t="shared" si="23"/>
        <v>#VALUE!</v>
      </c>
      <c r="AK28" s="95" t="e">
        <f t="shared" si="24"/>
        <v>#VALUE!</v>
      </c>
      <c r="AL28" s="95" t="e">
        <f t="shared" si="25"/>
        <v>#VALUE!</v>
      </c>
      <c r="AM28" s="95" t="e">
        <f t="shared" si="26"/>
        <v>#VALUE!</v>
      </c>
      <c r="AN28" s="124">
        <f>IF(ISBLANK(Wagenliste!B28),0,AM28-C28)</f>
        <v>0</v>
      </c>
      <c r="AO28" t="str">
        <f>IF(ISBLANK(Wagenliste!B28),"",IF(LEN(Wagenliste!B28)&gt;12,0,1))</f>
        <v/>
      </c>
    </row>
    <row r="29" spans="1:41" x14ac:dyDescent="0.15">
      <c r="A29" s="92">
        <v>23</v>
      </c>
      <c r="B29" s="93">
        <f>Wagenliste!B29</f>
        <v>0</v>
      </c>
      <c r="C29" s="124" t="str">
        <f>IF(ISBLANK(Wagenliste!B29),"",ROUND(MID(B29,12,1),0))</f>
        <v/>
      </c>
      <c r="D29" t="str">
        <f t="shared" si="1"/>
        <v>0</v>
      </c>
      <c r="E29" t="str">
        <f t="shared" si="2"/>
        <v/>
      </c>
      <c r="F29" t="str">
        <f t="shared" si="3"/>
        <v/>
      </c>
      <c r="G29" t="str">
        <f t="shared" si="4"/>
        <v/>
      </c>
      <c r="H29" t="str">
        <f t="shared" si="5"/>
        <v/>
      </c>
      <c r="I29" t="str">
        <f t="shared" si="6"/>
        <v/>
      </c>
      <c r="J29" t="str">
        <f t="shared" si="7"/>
        <v/>
      </c>
      <c r="K29" t="str">
        <f t="shared" si="8"/>
        <v/>
      </c>
      <c r="L29" t="str">
        <f t="shared" si="9"/>
        <v/>
      </c>
      <c r="M29" t="str">
        <f t="shared" si="10"/>
        <v/>
      </c>
      <c r="N29" s="92" t="str">
        <f t="shared" si="11"/>
        <v/>
      </c>
      <c r="O29" s="94">
        <f t="shared" si="12"/>
        <v>0</v>
      </c>
      <c r="P29" t="e">
        <f t="shared" si="13"/>
        <v>#VALUE!</v>
      </c>
      <c r="Q29" t="e">
        <f t="shared" si="14"/>
        <v>#VALUE!</v>
      </c>
      <c r="R29" t="e">
        <f t="shared" si="15"/>
        <v>#VALUE!</v>
      </c>
      <c r="S29" t="e">
        <f t="shared" si="16"/>
        <v>#VALUE!</v>
      </c>
      <c r="T29" t="e">
        <f t="shared" si="17"/>
        <v>#VALUE!</v>
      </c>
      <c r="U29" t="e">
        <f t="shared" si="18"/>
        <v>#VALUE!</v>
      </c>
      <c r="V29" t="e">
        <f t="shared" si="19"/>
        <v>#VALUE!</v>
      </c>
      <c r="W29" t="e">
        <f t="shared" si="20"/>
        <v>#VALUE!</v>
      </c>
      <c r="X29" t="e">
        <f t="shared" si="21"/>
        <v>#VALUE!</v>
      </c>
      <c r="Y29" s="92" t="e">
        <f t="shared" si="22"/>
        <v>#VALUE!</v>
      </c>
      <c r="Z29">
        <f t="shared" si="23"/>
        <v>0</v>
      </c>
      <c r="AA29" t="e">
        <f t="shared" si="23"/>
        <v>#VALUE!</v>
      </c>
      <c r="AB29" t="e">
        <f t="shared" si="23"/>
        <v>#VALUE!</v>
      </c>
      <c r="AC29" t="e">
        <f t="shared" si="23"/>
        <v>#VALUE!</v>
      </c>
      <c r="AD29" t="e">
        <f t="shared" si="23"/>
        <v>#VALUE!</v>
      </c>
      <c r="AE29" t="e">
        <f t="shared" si="23"/>
        <v>#VALUE!</v>
      </c>
      <c r="AF29" t="e">
        <f t="shared" si="23"/>
        <v>#VALUE!</v>
      </c>
      <c r="AG29" t="e">
        <f t="shared" si="23"/>
        <v>#VALUE!</v>
      </c>
      <c r="AH29" t="e">
        <f t="shared" si="23"/>
        <v>#VALUE!</v>
      </c>
      <c r="AI29" t="e">
        <f t="shared" si="23"/>
        <v>#VALUE!</v>
      </c>
      <c r="AJ29" t="e">
        <f t="shared" si="23"/>
        <v>#VALUE!</v>
      </c>
      <c r="AK29" s="95" t="e">
        <f t="shared" si="24"/>
        <v>#VALUE!</v>
      </c>
      <c r="AL29" s="95" t="e">
        <f t="shared" si="25"/>
        <v>#VALUE!</v>
      </c>
      <c r="AM29" s="95" t="e">
        <f t="shared" si="26"/>
        <v>#VALUE!</v>
      </c>
      <c r="AN29" s="124">
        <f>IF(ISBLANK(Wagenliste!B29),0,AM29-C29)</f>
        <v>0</v>
      </c>
      <c r="AO29" t="str">
        <f>IF(ISBLANK(Wagenliste!B29),"",IF(LEN(Wagenliste!B29)&gt;12,0,1))</f>
        <v/>
      </c>
    </row>
    <row r="30" spans="1:41" x14ac:dyDescent="0.15">
      <c r="A30" s="92">
        <v>24</v>
      </c>
      <c r="B30" s="93">
        <f>Wagenliste!B30</f>
        <v>0</v>
      </c>
      <c r="C30" s="124" t="str">
        <f>IF(ISBLANK(Wagenliste!B30),"",ROUND(MID(B30,12,1),0))</f>
        <v/>
      </c>
      <c r="D30" t="str">
        <f t="shared" si="1"/>
        <v>0</v>
      </c>
      <c r="E30" t="str">
        <f t="shared" si="2"/>
        <v/>
      </c>
      <c r="F30" t="str">
        <f t="shared" si="3"/>
        <v/>
      </c>
      <c r="G30" t="str">
        <f t="shared" si="4"/>
        <v/>
      </c>
      <c r="H30" t="str">
        <f t="shared" si="5"/>
        <v/>
      </c>
      <c r="I30" t="str">
        <f t="shared" si="6"/>
        <v/>
      </c>
      <c r="J30" t="str">
        <f t="shared" si="7"/>
        <v/>
      </c>
      <c r="K30" t="str">
        <f t="shared" si="8"/>
        <v/>
      </c>
      <c r="L30" t="str">
        <f t="shared" si="9"/>
        <v/>
      </c>
      <c r="M30" t="str">
        <f t="shared" si="10"/>
        <v/>
      </c>
      <c r="N30" s="92" t="str">
        <f t="shared" si="11"/>
        <v/>
      </c>
      <c r="O30" s="94">
        <f t="shared" si="12"/>
        <v>0</v>
      </c>
      <c r="P30" t="e">
        <f t="shared" si="13"/>
        <v>#VALUE!</v>
      </c>
      <c r="Q30" t="e">
        <f t="shared" si="14"/>
        <v>#VALUE!</v>
      </c>
      <c r="R30" t="e">
        <f t="shared" si="15"/>
        <v>#VALUE!</v>
      </c>
      <c r="S30" t="e">
        <f t="shared" si="16"/>
        <v>#VALUE!</v>
      </c>
      <c r="T30" t="e">
        <f t="shared" si="17"/>
        <v>#VALUE!</v>
      </c>
      <c r="U30" t="e">
        <f t="shared" si="18"/>
        <v>#VALUE!</v>
      </c>
      <c r="V30" t="e">
        <f t="shared" si="19"/>
        <v>#VALUE!</v>
      </c>
      <c r="W30" t="e">
        <f t="shared" si="20"/>
        <v>#VALUE!</v>
      </c>
      <c r="X30" t="e">
        <f t="shared" si="21"/>
        <v>#VALUE!</v>
      </c>
      <c r="Y30" s="92" t="e">
        <f t="shared" si="22"/>
        <v>#VALUE!</v>
      </c>
      <c r="Z30">
        <f t="shared" si="23"/>
        <v>0</v>
      </c>
      <c r="AA30" t="e">
        <f t="shared" si="23"/>
        <v>#VALUE!</v>
      </c>
      <c r="AB30" t="e">
        <f t="shared" si="23"/>
        <v>#VALUE!</v>
      </c>
      <c r="AC30" t="e">
        <f t="shared" si="23"/>
        <v>#VALUE!</v>
      </c>
      <c r="AD30" t="e">
        <f t="shared" si="23"/>
        <v>#VALUE!</v>
      </c>
      <c r="AE30" t="e">
        <f t="shared" si="23"/>
        <v>#VALUE!</v>
      </c>
      <c r="AF30" t="e">
        <f t="shared" si="23"/>
        <v>#VALUE!</v>
      </c>
      <c r="AG30" t="e">
        <f t="shared" si="23"/>
        <v>#VALUE!</v>
      </c>
      <c r="AH30" t="e">
        <f t="shared" si="23"/>
        <v>#VALUE!</v>
      </c>
      <c r="AI30" t="e">
        <f t="shared" si="23"/>
        <v>#VALUE!</v>
      </c>
      <c r="AJ30" t="e">
        <f t="shared" si="23"/>
        <v>#VALUE!</v>
      </c>
      <c r="AK30" s="95" t="e">
        <f t="shared" si="24"/>
        <v>#VALUE!</v>
      </c>
      <c r="AL30" s="95" t="e">
        <f t="shared" si="25"/>
        <v>#VALUE!</v>
      </c>
      <c r="AM30" s="95" t="e">
        <f t="shared" si="26"/>
        <v>#VALUE!</v>
      </c>
      <c r="AN30" s="124">
        <f>IF(ISBLANK(Wagenliste!B30),0,AM30-C30)</f>
        <v>0</v>
      </c>
      <c r="AO30" t="str">
        <f>IF(ISBLANK(Wagenliste!B30),"",IF(LEN(Wagenliste!B30)&gt;12,0,1))</f>
        <v/>
      </c>
    </row>
    <row r="31" spans="1:41" x14ac:dyDescent="0.15">
      <c r="A31" s="92">
        <v>25</v>
      </c>
      <c r="B31" s="93">
        <f>Wagenliste!B31</f>
        <v>0</v>
      </c>
      <c r="C31" s="124" t="str">
        <f>IF(ISBLANK(Wagenliste!B31),"",ROUND(MID(B31,12,1),0))</f>
        <v/>
      </c>
      <c r="D31" t="str">
        <f t="shared" si="1"/>
        <v>0</v>
      </c>
      <c r="E31" t="str">
        <f t="shared" si="2"/>
        <v/>
      </c>
      <c r="F31" t="str">
        <f t="shared" si="3"/>
        <v/>
      </c>
      <c r="G31" t="str">
        <f t="shared" si="4"/>
        <v/>
      </c>
      <c r="H31" t="str">
        <f t="shared" si="5"/>
        <v/>
      </c>
      <c r="I31" t="str">
        <f t="shared" si="6"/>
        <v/>
      </c>
      <c r="J31" t="str">
        <f t="shared" si="7"/>
        <v/>
      </c>
      <c r="K31" t="str">
        <f t="shared" si="8"/>
        <v/>
      </c>
      <c r="L31" t="str">
        <f t="shared" si="9"/>
        <v/>
      </c>
      <c r="M31" t="str">
        <f t="shared" si="10"/>
        <v/>
      </c>
      <c r="N31" s="92" t="str">
        <f t="shared" si="11"/>
        <v/>
      </c>
      <c r="O31" s="94">
        <f t="shared" si="12"/>
        <v>0</v>
      </c>
      <c r="P31" t="e">
        <f t="shared" si="13"/>
        <v>#VALUE!</v>
      </c>
      <c r="Q31" t="e">
        <f t="shared" si="14"/>
        <v>#VALUE!</v>
      </c>
      <c r="R31" t="e">
        <f t="shared" si="15"/>
        <v>#VALUE!</v>
      </c>
      <c r="S31" t="e">
        <f t="shared" si="16"/>
        <v>#VALUE!</v>
      </c>
      <c r="T31" t="e">
        <f t="shared" si="17"/>
        <v>#VALUE!</v>
      </c>
      <c r="U31" t="e">
        <f t="shared" si="18"/>
        <v>#VALUE!</v>
      </c>
      <c r="V31" t="e">
        <f t="shared" si="19"/>
        <v>#VALUE!</v>
      </c>
      <c r="W31" t="e">
        <f t="shared" si="20"/>
        <v>#VALUE!</v>
      </c>
      <c r="X31" t="e">
        <f t="shared" si="21"/>
        <v>#VALUE!</v>
      </c>
      <c r="Y31" s="92" t="e">
        <f t="shared" si="22"/>
        <v>#VALUE!</v>
      </c>
      <c r="Z31">
        <f t="shared" si="23"/>
        <v>0</v>
      </c>
      <c r="AA31" t="e">
        <f t="shared" si="23"/>
        <v>#VALUE!</v>
      </c>
      <c r="AB31" t="e">
        <f t="shared" si="23"/>
        <v>#VALUE!</v>
      </c>
      <c r="AC31" t="e">
        <f t="shared" si="23"/>
        <v>#VALUE!</v>
      </c>
      <c r="AD31" t="e">
        <f t="shared" si="23"/>
        <v>#VALUE!</v>
      </c>
      <c r="AE31" t="e">
        <f t="shared" si="23"/>
        <v>#VALUE!</v>
      </c>
      <c r="AF31" t="e">
        <f t="shared" si="23"/>
        <v>#VALUE!</v>
      </c>
      <c r="AG31" t="e">
        <f t="shared" si="23"/>
        <v>#VALUE!</v>
      </c>
      <c r="AH31" t="e">
        <f t="shared" si="23"/>
        <v>#VALUE!</v>
      </c>
      <c r="AI31" t="e">
        <f t="shared" si="23"/>
        <v>#VALUE!</v>
      </c>
      <c r="AJ31" t="e">
        <f t="shared" si="23"/>
        <v>#VALUE!</v>
      </c>
      <c r="AK31" s="95" t="e">
        <f t="shared" si="24"/>
        <v>#VALUE!</v>
      </c>
      <c r="AL31" s="95" t="e">
        <f t="shared" si="25"/>
        <v>#VALUE!</v>
      </c>
      <c r="AM31" s="95" t="e">
        <f t="shared" si="26"/>
        <v>#VALUE!</v>
      </c>
      <c r="AN31" s="124">
        <f>IF(ISBLANK(Wagenliste!B31),0,AM31-C31)</f>
        <v>0</v>
      </c>
      <c r="AO31" t="str">
        <f>IF(ISBLANK(Wagenliste!B31),"",IF(LEN(Wagenliste!B31)&gt;12,0,1))</f>
        <v/>
      </c>
    </row>
    <row r="32" spans="1:41" x14ac:dyDescent="0.15">
      <c r="A32" s="92">
        <v>26</v>
      </c>
      <c r="B32" s="93">
        <f>Wagenliste!B32</f>
        <v>0</v>
      </c>
      <c r="C32" s="124" t="str">
        <f>IF(ISBLANK(Wagenliste!B32),"",ROUND(MID(B32,12,1),0))</f>
        <v/>
      </c>
      <c r="D32" t="str">
        <f t="shared" si="1"/>
        <v>0</v>
      </c>
      <c r="E32" t="str">
        <f t="shared" si="2"/>
        <v/>
      </c>
      <c r="F32" t="str">
        <f t="shared" si="3"/>
        <v/>
      </c>
      <c r="G32" t="str">
        <f t="shared" si="4"/>
        <v/>
      </c>
      <c r="H32" t="str">
        <f t="shared" si="5"/>
        <v/>
      </c>
      <c r="I32" t="str">
        <f t="shared" si="6"/>
        <v/>
      </c>
      <c r="J32" t="str">
        <f t="shared" si="7"/>
        <v/>
      </c>
      <c r="K32" t="str">
        <f t="shared" si="8"/>
        <v/>
      </c>
      <c r="L32" t="str">
        <f t="shared" si="9"/>
        <v/>
      </c>
      <c r="M32" t="str">
        <f t="shared" si="10"/>
        <v/>
      </c>
      <c r="N32" s="92" t="str">
        <f t="shared" si="11"/>
        <v/>
      </c>
      <c r="O32" s="94">
        <f t="shared" si="12"/>
        <v>0</v>
      </c>
      <c r="P32" t="e">
        <f t="shared" si="13"/>
        <v>#VALUE!</v>
      </c>
      <c r="Q32" t="e">
        <f t="shared" si="14"/>
        <v>#VALUE!</v>
      </c>
      <c r="R32" t="e">
        <f t="shared" si="15"/>
        <v>#VALUE!</v>
      </c>
      <c r="S32" t="e">
        <f t="shared" si="16"/>
        <v>#VALUE!</v>
      </c>
      <c r="T32" t="e">
        <f t="shared" si="17"/>
        <v>#VALUE!</v>
      </c>
      <c r="U32" t="e">
        <f t="shared" si="18"/>
        <v>#VALUE!</v>
      </c>
      <c r="V32" t="e">
        <f t="shared" si="19"/>
        <v>#VALUE!</v>
      </c>
      <c r="W32" t="e">
        <f t="shared" si="20"/>
        <v>#VALUE!</v>
      </c>
      <c r="X32" t="e">
        <f t="shared" si="21"/>
        <v>#VALUE!</v>
      </c>
      <c r="Y32" s="92" t="e">
        <f t="shared" si="22"/>
        <v>#VALUE!</v>
      </c>
      <c r="Z32">
        <f t="shared" si="23"/>
        <v>0</v>
      </c>
      <c r="AA32" t="e">
        <f t="shared" si="23"/>
        <v>#VALUE!</v>
      </c>
      <c r="AB32" t="e">
        <f t="shared" si="23"/>
        <v>#VALUE!</v>
      </c>
      <c r="AC32" t="e">
        <f t="shared" si="23"/>
        <v>#VALUE!</v>
      </c>
      <c r="AD32" t="e">
        <f t="shared" si="23"/>
        <v>#VALUE!</v>
      </c>
      <c r="AE32" t="e">
        <f t="shared" si="23"/>
        <v>#VALUE!</v>
      </c>
      <c r="AF32" t="e">
        <f t="shared" si="23"/>
        <v>#VALUE!</v>
      </c>
      <c r="AG32" t="e">
        <f t="shared" si="23"/>
        <v>#VALUE!</v>
      </c>
      <c r="AH32" t="e">
        <f t="shared" si="23"/>
        <v>#VALUE!</v>
      </c>
      <c r="AI32" t="e">
        <f t="shared" si="23"/>
        <v>#VALUE!</v>
      </c>
      <c r="AJ32" t="e">
        <f t="shared" si="23"/>
        <v>#VALUE!</v>
      </c>
      <c r="AK32" s="95" t="e">
        <f t="shared" si="24"/>
        <v>#VALUE!</v>
      </c>
      <c r="AL32" s="95" t="e">
        <f t="shared" si="25"/>
        <v>#VALUE!</v>
      </c>
      <c r="AM32" s="95" t="e">
        <f t="shared" si="26"/>
        <v>#VALUE!</v>
      </c>
      <c r="AN32" s="124">
        <f>IF(ISBLANK(Wagenliste!B32),0,AM32-C32)</f>
        <v>0</v>
      </c>
      <c r="AO32" t="str">
        <f>IF(ISBLANK(Wagenliste!B32),"",IF(LEN(Wagenliste!B32)&gt;12,0,1))</f>
        <v/>
      </c>
    </row>
    <row r="33" spans="1:41" x14ac:dyDescent="0.15">
      <c r="A33" s="92">
        <v>27</v>
      </c>
      <c r="B33" s="93">
        <f>Wagenliste!B33</f>
        <v>0</v>
      </c>
      <c r="C33" s="124" t="str">
        <f>IF(ISBLANK(Wagenliste!B33),"",ROUND(MID(B33,12,1),0))</f>
        <v/>
      </c>
      <c r="D33" t="str">
        <f t="shared" si="1"/>
        <v>0</v>
      </c>
      <c r="E33" t="str">
        <f t="shared" si="2"/>
        <v/>
      </c>
      <c r="F33" t="str">
        <f t="shared" si="3"/>
        <v/>
      </c>
      <c r="G33" t="str">
        <f t="shared" si="4"/>
        <v/>
      </c>
      <c r="H33" t="str">
        <f t="shared" si="5"/>
        <v/>
      </c>
      <c r="I33" t="str">
        <f t="shared" si="6"/>
        <v/>
      </c>
      <c r="J33" t="str">
        <f t="shared" si="7"/>
        <v/>
      </c>
      <c r="K33" t="str">
        <f t="shared" si="8"/>
        <v/>
      </c>
      <c r="L33" t="str">
        <f t="shared" si="9"/>
        <v/>
      </c>
      <c r="M33" t="str">
        <f t="shared" si="10"/>
        <v/>
      </c>
      <c r="N33" s="92" t="str">
        <f t="shared" si="11"/>
        <v/>
      </c>
      <c r="O33" s="94">
        <f t="shared" si="12"/>
        <v>0</v>
      </c>
      <c r="P33" t="e">
        <f t="shared" si="13"/>
        <v>#VALUE!</v>
      </c>
      <c r="Q33" t="e">
        <f t="shared" si="14"/>
        <v>#VALUE!</v>
      </c>
      <c r="R33" t="e">
        <f t="shared" si="15"/>
        <v>#VALUE!</v>
      </c>
      <c r="S33" t="e">
        <f t="shared" si="16"/>
        <v>#VALUE!</v>
      </c>
      <c r="T33" t="e">
        <f t="shared" si="17"/>
        <v>#VALUE!</v>
      </c>
      <c r="U33" t="e">
        <f t="shared" si="18"/>
        <v>#VALUE!</v>
      </c>
      <c r="V33" t="e">
        <f t="shared" si="19"/>
        <v>#VALUE!</v>
      </c>
      <c r="W33" t="e">
        <f t="shared" si="20"/>
        <v>#VALUE!</v>
      </c>
      <c r="X33" t="e">
        <f t="shared" si="21"/>
        <v>#VALUE!</v>
      </c>
      <c r="Y33" s="92" t="e">
        <f t="shared" si="22"/>
        <v>#VALUE!</v>
      </c>
      <c r="Z33">
        <f t="shared" si="23"/>
        <v>0</v>
      </c>
      <c r="AA33" t="e">
        <f t="shared" si="23"/>
        <v>#VALUE!</v>
      </c>
      <c r="AB33" t="e">
        <f t="shared" si="23"/>
        <v>#VALUE!</v>
      </c>
      <c r="AC33" t="e">
        <f t="shared" si="23"/>
        <v>#VALUE!</v>
      </c>
      <c r="AD33" t="e">
        <f t="shared" si="23"/>
        <v>#VALUE!</v>
      </c>
      <c r="AE33" t="e">
        <f t="shared" si="23"/>
        <v>#VALUE!</v>
      </c>
      <c r="AF33" t="e">
        <f t="shared" si="23"/>
        <v>#VALUE!</v>
      </c>
      <c r="AG33" t="e">
        <f t="shared" si="23"/>
        <v>#VALUE!</v>
      </c>
      <c r="AH33" t="e">
        <f t="shared" si="23"/>
        <v>#VALUE!</v>
      </c>
      <c r="AI33" t="e">
        <f t="shared" si="23"/>
        <v>#VALUE!</v>
      </c>
      <c r="AJ33" t="e">
        <f t="shared" si="23"/>
        <v>#VALUE!</v>
      </c>
      <c r="AK33" s="95" t="e">
        <f t="shared" si="24"/>
        <v>#VALUE!</v>
      </c>
      <c r="AL33" s="95" t="e">
        <f t="shared" si="25"/>
        <v>#VALUE!</v>
      </c>
      <c r="AM33" s="95" t="e">
        <f t="shared" si="26"/>
        <v>#VALUE!</v>
      </c>
      <c r="AN33" s="124">
        <f>IF(ISBLANK(Wagenliste!B33),0,AM33-C33)</f>
        <v>0</v>
      </c>
      <c r="AO33" t="str">
        <f>IF(ISBLANK(Wagenliste!B33),"",IF(LEN(Wagenliste!B33)&gt;12,0,1))</f>
        <v/>
      </c>
    </row>
    <row r="34" spans="1:41" x14ac:dyDescent="0.15">
      <c r="A34" s="92">
        <v>28</v>
      </c>
      <c r="B34" s="93">
        <f>Wagenliste!B34</f>
        <v>0</v>
      </c>
      <c r="C34" s="124" t="str">
        <f>IF(ISBLANK(Wagenliste!B34),"",ROUND(MID(B34,12,1),0))</f>
        <v/>
      </c>
      <c r="D34" t="str">
        <f t="shared" si="1"/>
        <v>0</v>
      </c>
      <c r="E34" t="str">
        <f t="shared" si="2"/>
        <v/>
      </c>
      <c r="F34" t="str">
        <f t="shared" si="3"/>
        <v/>
      </c>
      <c r="G34" t="str">
        <f t="shared" si="4"/>
        <v/>
      </c>
      <c r="H34" t="str">
        <f t="shared" si="5"/>
        <v/>
      </c>
      <c r="I34" t="str">
        <f t="shared" si="6"/>
        <v/>
      </c>
      <c r="J34" t="str">
        <f t="shared" si="7"/>
        <v/>
      </c>
      <c r="K34" t="str">
        <f t="shared" si="8"/>
        <v/>
      </c>
      <c r="L34" t="str">
        <f t="shared" si="9"/>
        <v/>
      </c>
      <c r="M34" t="str">
        <f t="shared" si="10"/>
        <v/>
      </c>
      <c r="N34" s="92" t="str">
        <f t="shared" si="11"/>
        <v/>
      </c>
      <c r="O34" s="94">
        <f t="shared" si="12"/>
        <v>0</v>
      </c>
      <c r="P34" t="e">
        <f t="shared" si="13"/>
        <v>#VALUE!</v>
      </c>
      <c r="Q34" t="e">
        <f t="shared" si="14"/>
        <v>#VALUE!</v>
      </c>
      <c r="R34" t="e">
        <f t="shared" si="15"/>
        <v>#VALUE!</v>
      </c>
      <c r="S34" t="e">
        <f t="shared" si="16"/>
        <v>#VALUE!</v>
      </c>
      <c r="T34" t="e">
        <f t="shared" si="17"/>
        <v>#VALUE!</v>
      </c>
      <c r="U34" t="e">
        <f t="shared" si="18"/>
        <v>#VALUE!</v>
      </c>
      <c r="V34" t="e">
        <f t="shared" si="19"/>
        <v>#VALUE!</v>
      </c>
      <c r="W34" t="e">
        <f t="shared" si="20"/>
        <v>#VALUE!</v>
      </c>
      <c r="X34" t="e">
        <f t="shared" si="21"/>
        <v>#VALUE!</v>
      </c>
      <c r="Y34" s="92" t="e">
        <f t="shared" si="22"/>
        <v>#VALUE!</v>
      </c>
      <c r="Z34">
        <f t="shared" si="23"/>
        <v>0</v>
      </c>
      <c r="AA34" t="e">
        <f t="shared" si="23"/>
        <v>#VALUE!</v>
      </c>
      <c r="AB34" t="e">
        <f t="shared" si="23"/>
        <v>#VALUE!</v>
      </c>
      <c r="AC34" t="e">
        <f t="shared" si="23"/>
        <v>#VALUE!</v>
      </c>
      <c r="AD34" t="e">
        <f t="shared" si="23"/>
        <v>#VALUE!</v>
      </c>
      <c r="AE34" t="e">
        <f t="shared" si="23"/>
        <v>#VALUE!</v>
      </c>
      <c r="AF34" t="e">
        <f t="shared" si="23"/>
        <v>#VALUE!</v>
      </c>
      <c r="AG34" t="e">
        <f t="shared" si="23"/>
        <v>#VALUE!</v>
      </c>
      <c r="AH34" t="e">
        <f t="shared" si="23"/>
        <v>#VALUE!</v>
      </c>
      <c r="AI34" t="e">
        <f t="shared" si="23"/>
        <v>#VALUE!</v>
      </c>
      <c r="AJ34" t="e">
        <f t="shared" si="23"/>
        <v>#VALUE!</v>
      </c>
      <c r="AK34" s="95" t="e">
        <f t="shared" si="24"/>
        <v>#VALUE!</v>
      </c>
      <c r="AL34" s="95" t="e">
        <f t="shared" si="25"/>
        <v>#VALUE!</v>
      </c>
      <c r="AM34" s="95" t="e">
        <f t="shared" si="26"/>
        <v>#VALUE!</v>
      </c>
      <c r="AN34" s="124">
        <f>IF(ISBLANK(Wagenliste!B34),0,AM34-C34)</f>
        <v>0</v>
      </c>
      <c r="AO34" t="str">
        <f>IF(ISBLANK(Wagenliste!B34),"",IF(LEN(Wagenliste!B34)&gt;12,0,1))</f>
        <v/>
      </c>
    </row>
    <row r="35" spans="1:41" x14ac:dyDescent="0.15">
      <c r="A35" s="92">
        <v>29</v>
      </c>
      <c r="B35" s="93">
        <f>Wagenliste!B35</f>
        <v>0</v>
      </c>
      <c r="C35" s="124" t="str">
        <f>IF(ISBLANK(Wagenliste!B35),"",ROUND(MID(B35,12,1),0))</f>
        <v/>
      </c>
      <c r="D35" t="str">
        <f t="shared" si="1"/>
        <v>0</v>
      </c>
      <c r="E35" t="str">
        <f t="shared" si="2"/>
        <v/>
      </c>
      <c r="F35" t="str">
        <f t="shared" si="3"/>
        <v/>
      </c>
      <c r="G35" t="str">
        <f t="shared" si="4"/>
        <v/>
      </c>
      <c r="H35" t="str">
        <f t="shared" si="5"/>
        <v/>
      </c>
      <c r="I35" t="str">
        <f t="shared" si="6"/>
        <v/>
      </c>
      <c r="J35" t="str">
        <f t="shared" si="7"/>
        <v/>
      </c>
      <c r="K35" t="str">
        <f t="shared" si="8"/>
        <v/>
      </c>
      <c r="L35" t="str">
        <f t="shared" si="9"/>
        <v/>
      </c>
      <c r="M35" t="str">
        <f t="shared" si="10"/>
        <v/>
      </c>
      <c r="N35" s="92" t="str">
        <f t="shared" si="11"/>
        <v/>
      </c>
      <c r="O35" s="94">
        <f t="shared" si="12"/>
        <v>0</v>
      </c>
      <c r="P35" t="e">
        <f t="shared" si="13"/>
        <v>#VALUE!</v>
      </c>
      <c r="Q35" t="e">
        <f t="shared" si="14"/>
        <v>#VALUE!</v>
      </c>
      <c r="R35" t="e">
        <f t="shared" si="15"/>
        <v>#VALUE!</v>
      </c>
      <c r="S35" t="e">
        <f t="shared" si="16"/>
        <v>#VALUE!</v>
      </c>
      <c r="T35" t="e">
        <f t="shared" si="17"/>
        <v>#VALUE!</v>
      </c>
      <c r="U35" t="e">
        <f t="shared" si="18"/>
        <v>#VALUE!</v>
      </c>
      <c r="V35" t="e">
        <f t="shared" si="19"/>
        <v>#VALUE!</v>
      </c>
      <c r="W35" t="e">
        <f t="shared" si="20"/>
        <v>#VALUE!</v>
      </c>
      <c r="X35" t="e">
        <f t="shared" si="21"/>
        <v>#VALUE!</v>
      </c>
      <c r="Y35" s="92" t="e">
        <f t="shared" si="22"/>
        <v>#VALUE!</v>
      </c>
      <c r="Z35">
        <f t="shared" si="23"/>
        <v>0</v>
      </c>
      <c r="AA35" t="e">
        <f t="shared" si="23"/>
        <v>#VALUE!</v>
      </c>
      <c r="AB35" t="e">
        <f t="shared" si="23"/>
        <v>#VALUE!</v>
      </c>
      <c r="AC35" t="e">
        <f t="shared" si="23"/>
        <v>#VALUE!</v>
      </c>
      <c r="AD35" t="e">
        <f t="shared" si="23"/>
        <v>#VALUE!</v>
      </c>
      <c r="AE35" t="e">
        <f t="shared" si="23"/>
        <v>#VALUE!</v>
      </c>
      <c r="AF35" t="e">
        <f t="shared" si="23"/>
        <v>#VALUE!</v>
      </c>
      <c r="AG35" t="e">
        <f t="shared" si="23"/>
        <v>#VALUE!</v>
      </c>
      <c r="AH35" t="e">
        <f t="shared" si="23"/>
        <v>#VALUE!</v>
      </c>
      <c r="AI35" t="e">
        <f t="shared" si="23"/>
        <v>#VALUE!</v>
      </c>
      <c r="AJ35" t="e">
        <f t="shared" si="23"/>
        <v>#VALUE!</v>
      </c>
      <c r="AK35" s="95" t="e">
        <f t="shared" si="24"/>
        <v>#VALUE!</v>
      </c>
      <c r="AL35" s="95" t="e">
        <f t="shared" si="25"/>
        <v>#VALUE!</v>
      </c>
      <c r="AM35" s="95" t="e">
        <f t="shared" si="26"/>
        <v>#VALUE!</v>
      </c>
      <c r="AN35" s="124">
        <f>IF(ISBLANK(Wagenliste!B35),0,AM35-C35)</f>
        <v>0</v>
      </c>
      <c r="AO35" t="str">
        <f>IF(ISBLANK(Wagenliste!B35),"",IF(LEN(Wagenliste!B35)&gt;12,0,1))</f>
        <v/>
      </c>
    </row>
    <row r="36" spans="1:41" x14ac:dyDescent="0.15">
      <c r="A36" s="92">
        <v>30</v>
      </c>
      <c r="B36" s="93">
        <f>Wagenliste!B36</f>
        <v>0</v>
      </c>
      <c r="C36" s="124" t="str">
        <f>IF(ISBLANK(Wagenliste!B36),"",ROUND(MID(B36,12,1),0))</f>
        <v/>
      </c>
      <c r="D36" t="str">
        <f t="shared" si="1"/>
        <v>0</v>
      </c>
      <c r="E36" t="str">
        <f t="shared" si="2"/>
        <v/>
      </c>
      <c r="F36" t="str">
        <f t="shared" si="3"/>
        <v/>
      </c>
      <c r="G36" t="str">
        <f t="shared" si="4"/>
        <v/>
      </c>
      <c r="H36" t="str">
        <f t="shared" si="5"/>
        <v/>
      </c>
      <c r="I36" t="str">
        <f t="shared" si="6"/>
        <v/>
      </c>
      <c r="J36" t="str">
        <f t="shared" si="7"/>
        <v/>
      </c>
      <c r="K36" t="str">
        <f t="shared" si="8"/>
        <v/>
      </c>
      <c r="L36" t="str">
        <f t="shared" si="9"/>
        <v/>
      </c>
      <c r="M36" t="str">
        <f t="shared" si="10"/>
        <v/>
      </c>
      <c r="N36" s="92" t="str">
        <f t="shared" si="11"/>
        <v/>
      </c>
      <c r="O36" s="94">
        <f t="shared" si="12"/>
        <v>0</v>
      </c>
      <c r="P36" t="e">
        <f t="shared" si="13"/>
        <v>#VALUE!</v>
      </c>
      <c r="Q36" t="e">
        <f t="shared" si="14"/>
        <v>#VALUE!</v>
      </c>
      <c r="R36" t="e">
        <f t="shared" si="15"/>
        <v>#VALUE!</v>
      </c>
      <c r="S36" t="e">
        <f t="shared" si="16"/>
        <v>#VALUE!</v>
      </c>
      <c r="T36" t="e">
        <f t="shared" si="17"/>
        <v>#VALUE!</v>
      </c>
      <c r="U36" t="e">
        <f t="shared" si="18"/>
        <v>#VALUE!</v>
      </c>
      <c r="V36" t="e">
        <f t="shared" si="19"/>
        <v>#VALUE!</v>
      </c>
      <c r="W36" t="e">
        <f t="shared" si="20"/>
        <v>#VALUE!</v>
      </c>
      <c r="X36" t="e">
        <f t="shared" si="21"/>
        <v>#VALUE!</v>
      </c>
      <c r="Y36" s="92" t="e">
        <f t="shared" si="22"/>
        <v>#VALUE!</v>
      </c>
      <c r="Z36">
        <f t="shared" si="23"/>
        <v>0</v>
      </c>
      <c r="AA36" t="e">
        <f t="shared" si="23"/>
        <v>#VALUE!</v>
      </c>
      <c r="AB36" t="e">
        <f t="shared" si="23"/>
        <v>#VALUE!</v>
      </c>
      <c r="AC36" t="e">
        <f t="shared" si="23"/>
        <v>#VALUE!</v>
      </c>
      <c r="AD36" t="e">
        <f t="shared" si="23"/>
        <v>#VALUE!</v>
      </c>
      <c r="AE36" t="e">
        <f t="shared" si="23"/>
        <v>#VALUE!</v>
      </c>
      <c r="AF36" t="e">
        <f t="shared" si="23"/>
        <v>#VALUE!</v>
      </c>
      <c r="AG36" t="e">
        <f t="shared" si="23"/>
        <v>#VALUE!</v>
      </c>
      <c r="AH36" t="e">
        <f t="shared" si="23"/>
        <v>#VALUE!</v>
      </c>
      <c r="AI36" t="e">
        <f t="shared" si="23"/>
        <v>#VALUE!</v>
      </c>
      <c r="AJ36" t="e">
        <f t="shared" si="23"/>
        <v>#VALUE!</v>
      </c>
      <c r="AK36" s="95" t="e">
        <f t="shared" si="24"/>
        <v>#VALUE!</v>
      </c>
      <c r="AL36" s="95" t="e">
        <f t="shared" si="25"/>
        <v>#VALUE!</v>
      </c>
      <c r="AM36" s="95" t="e">
        <f t="shared" si="26"/>
        <v>#VALUE!</v>
      </c>
      <c r="AN36" s="124">
        <f>IF(ISBLANK(Wagenliste!B36),0,AM36-C36)</f>
        <v>0</v>
      </c>
      <c r="AO36" t="str">
        <f>IF(ISBLANK(Wagenliste!B36),"",IF(LEN(Wagenliste!B36)&gt;12,0,1))</f>
        <v/>
      </c>
    </row>
    <row r="41" spans="1:41" ht="24" x14ac:dyDescent="0.15">
      <c r="B41" s="88" t="s">
        <v>179</v>
      </c>
      <c r="D41" s="86" t="s">
        <v>216</v>
      </c>
      <c r="E41" s="86" t="s">
        <v>217</v>
      </c>
      <c r="F41" s="86" t="s">
        <v>218</v>
      </c>
      <c r="G41" s="86" t="s">
        <v>219</v>
      </c>
    </row>
    <row r="42" spans="1:41" ht="14.25" x14ac:dyDescent="0.15">
      <c r="B42" s="96">
        <f t="array" ref="B42">INDEX(Wagenliste!B:B,MAX(ISNUMBER(Wagenliste!B7:F36)*ROW(Wagenliste!B7:F36)))</f>
        <v>378079297701</v>
      </c>
      <c r="D42" t="str">
        <f>MID(B42,9,1)</f>
        <v>7</v>
      </c>
      <c r="E42" t="str">
        <f>MID(B42,10,1)</f>
        <v>7</v>
      </c>
      <c r="F42" t="str">
        <f>MID(B42,11,1)</f>
        <v>0</v>
      </c>
      <c r="G42" t="str">
        <f>MID(B42,12,1)</f>
        <v>1</v>
      </c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</row>
    <row r="43" spans="1:41" x14ac:dyDescent="0.15">
      <c r="M43" s="1"/>
    </row>
    <row r="44" spans="1:41" x14ac:dyDescent="0.15">
      <c r="B44">
        <f>IF(ISERROR(C7)=TRUE,1,2)</f>
        <v>2</v>
      </c>
    </row>
    <row r="46" spans="1:41" ht="24" x14ac:dyDescent="0.15">
      <c r="B46" s="88" t="s">
        <v>215</v>
      </c>
      <c r="D46" s="86" t="s">
        <v>216</v>
      </c>
      <c r="E46" s="86" t="s">
        <v>217</v>
      </c>
      <c r="F46" s="86" t="s">
        <v>218</v>
      </c>
      <c r="G46" s="1"/>
    </row>
    <row r="47" spans="1:41" x14ac:dyDescent="0.15">
      <c r="B47" s="96">
        <f>Wagenliste!B7</f>
        <v>378078308871</v>
      </c>
      <c r="D47" t="str">
        <f>MID(B47,9,1)</f>
        <v>8</v>
      </c>
      <c r="E47" t="str">
        <f>MID(B47,10,1)</f>
        <v>8</v>
      </c>
      <c r="F47" t="str">
        <f>MID(B47,11,1)</f>
        <v>7</v>
      </c>
    </row>
    <row r="49" spans="1:6" x14ac:dyDescent="0.15">
      <c r="A49" s="1"/>
    </row>
    <row r="50" spans="1:6" x14ac:dyDescent="0.15">
      <c r="A50" s="708"/>
      <c r="B50" s="708"/>
      <c r="C50" s="708"/>
      <c r="D50" s="707"/>
      <c r="E50" s="707"/>
      <c r="F50" s="707"/>
    </row>
    <row r="52" spans="1:6" x14ac:dyDescent="0.15">
      <c r="A52" s="707"/>
      <c r="B52" s="707"/>
      <c r="C52" s="707"/>
    </row>
  </sheetData>
  <sheetProtection sheet="1" objects="1" scenarios="1"/>
  <mergeCells count="6">
    <mergeCell ref="B1:N1"/>
    <mergeCell ref="O1:Y1"/>
    <mergeCell ref="Z1:AK1"/>
    <mergeCell ref="A52:C52"/>
    <mergeCell ref="A50:C50"/>
    <mergeCell ref="D50:F50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2</vt:i4>
      </vt:variant>
    </vt:vector>
  </HeadingPairs>
  <TitlesOfParts>
    <vt:vector size="8" baseType="lpstr">
      <vt:lpstr>Wagenliste</vt:lpstr>
      <vt:lpstr>Wagenliste2 (autom. gefüllt)</vt:lpstr>
      <vt:lpstr>Bremszettel</vt:lpstr>
      <vt:lpstr>WU Protokoll</vt:lpstr>
      <vt:lpstr>Meldezettel</vt:lpstr>
      <vt:lpstr>Formeln Rdx</vt:lpstr>
      <vt:lpstr>WU Protokoll!Bahnhof</vt:lpstr>
      <vt:lpstr>Wagenliste!Druckbereich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Feuerriegel</dc:creator>
  <cp:lastModifiedBy>Wagenmeister-GL</cp:lastModifiedBy>
  <cp:lastPrinted>2023-03-29T12:08:04Z</cp:lastPrinted>
  <dcterms:created xsi:type="dcterms:W3CDTF">2018-09-24T11:19:59Z</dcterms:created>
  <dcterms:modified xsi:type="dcterms:W3CDTF">2026-02-28T01:10:10Z</dcterms:modified>
</cp:coreProperties>
</file>